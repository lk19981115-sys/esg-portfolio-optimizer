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490" activeTab="2"/>
  </bookViews>
  <sheets>
    <sheet sheetId="3" name="Individual_Combined_Scores" state="visible" r:id="rId4"/>
    <sheet sheetId="2" name="Portfolio_Performance" state="visible" r:id="rId5"/>
    <sheet sheetId="1" name="Portfolio_Performance_Summary" state="visible" r:id="rId6"/>
  </sheets>
  <calcPr calcId="171027"/>
</workbook>
</file>

<file path=xl/sharedStrings.xml><?xml version="1.0" encoding="utf-8"?>
<sst xmlns="http://schemas.openxmlformats.org/spreadsheetml/2006/main" count="2673" uniqueCount="246">
  <si>
    <t>firm unique identifier</t>
  </si>
  <si>
    <t>Ticker</t>
  </si>
  <si>
    <t>firm name</t>
  </si>
  <si>
    <t>Year</t>
  </si>
  <si>
    <t>pe</t>
  </si>
  <si>
    <t>adj_esg</t>
  </si>
  <si>
    <t>pe_score</t>
  </si>
  <si>
    <t>esg_score</t>
  </si>
  <si>
    <t>combined_score</t>
  </si>
  <si>
    <t>Period</t>
  </si>
  <si>
    <t>mktcap</t>
  </si>
  <si>
    <t>sales_growth</t>
  </si>
  <si>
    <t>annual_ret</t>
  </si>
  <si>
    <t>mkt_ann_ret</t>
  </si>
  <si>
    <t>abnormal_ret</t>
  </si>
  <si>
    <t>rf_annual</t>
  </si>
  <si>
    <t>PGR</t>
  </si>
  <si>
    <t>PROGRESSIVE CORP OH</t>
  </si>
  <si>
    <t>201306-201405</t>
  </si>
  <si>
    <t>THG</t>
  </si>
  <si>
    <t>HANOVER INSURANCE GROUP INC</t>
  </si>
  <si>
    <t>PRU</t>
  </si>
  <si>
    <t>PRUDENTIAL FINANCIAL INC</t>
  </si>
  <si>
    <t>CINF</t>
  </si>
  <si>
    <t>CINCINNATI FINANCIAL CORP</t>
  </si>
  <si>
    <t>AJG</t>
  </si>
  <si>
    <t>GALLAGHER ARTHUR J &amp; CO</t>
  </si>
  <si>
    <t>MMC</t>
  </si>
  <si>
    <t>MARSH &amp; MCLENNAN COS INC</t>
  </si>
  <si>
    <t>MCY</t>
  </si>
  <si>
    <t>MERCURY GENERAL CORP NEW</t>
  </si>
  <si>
    <t>CB</t>
  </si>
  <si>
    <t>CHUBB CORP</t>
  </si>
  <si>
    <t>HNT</t>
  </si>
  <si>
    <t>HEALTH NET INC</t>
  </si>
  <si>
    <t>SLF</t>
  </si>
  <si>
    <t>SUN LIFE FINANCIAL INC</t>
  </si>
  <si>
    <t>VRSK</t>
  </si>
  <si>
    <t>VERISK ANALYTICS INC</t>
  </si>
  <si>
    <t>HUM</t>
  </si>
  <si>
    <t>HUMANA INC</t>
  </si>
  <si>
    <t>AFL</t>
  </si>
  <si>
    <t>AFLAC INC</t>
  </si>
  <si>
    <t>BRO</t>
  </si>
  <si>
    <t>BROWN &amp; BROWN INC</t>
  </si>
  <si>
    <t>ALL</t>
  </si>
  <si>
    <t>ALLSTATE CORP</t>
  </si>
  <si>
    <t>ERIE</t>
  </si>
  <si>
    <t>ERIE INDEMNITY CO</t>
  </si>
  <si>
    <t>MFC</t>
  </si>
  <si>
    <t>MANULIFE FINANCIAL CORP</t>
  </si>
  <si>
    <t>MET</t>
  </si>
  <si>
    <t>METLIFE INC</t>
  </si>
  <si>
    <t>AET</t>
  </si>
  <si>
    <t>AETNA INC NEW</t>
  </si>
  <si>
    <t>WCG</t>
  </si>
  <si>
    <t>WELLCARE HEALTH PLANS INC</t>
  </si>
  <si>
    <t>MKL</t>
  </si>
  <si>
    <t>MARKEL CORP</t>
  </si>
  <si>
    <t>KMPR</t>
  </si>
  <si>
    <t>KEMPER CORP DE</t>
  </si>
  <si>
    <t>L</t>
  </si>
  <si>
    <t>LOEWS CORP</t>
  </si>
  <si>
    <t>TRV</t>
  </si>
  <si>
    <t>TRAVELERS COMPANIES INC</t>
  </si>
  <si>
    <t>UNM</t>
  </si>
  <si>
    <t>UNUM GROUP</t>
  </si>
  <si>
    <t>SFG</t>
  </si>
  <si>
    <t>STANCORP FINANCIAL GROUP INC</t>
  </si>
  <si>
    <t>GNW</t>
  </si>
  <si>
    <t>GENWORTH FINANCIAL INC</t>
  </si>
  <si>
    <t>MBI</t>
  </si>
  <si>
    <t>M B I A INC</t>
  </si>
  <si>
    <t>AIZ</t>
  </si>
  <si>
    <t>ASSURANT INC</t>
  </si>
  <si>
    <t>WRB</t>
  </si>
  <si>
    <t>BERKLEY W R CORP</t>
  </si>
  <si>
    <t>CNA</t>
  </si>
  <si>
    <t>C N A FINANCIAL CORP</t>
  </si>
  <si>
    <t>SYA</t>
  </si>
  <si>
    <t>SYMETRA FINANCIAL CORP</t>
  </si>
  <si>
    <t>LNC</t>
  </si>
  <si>
    <t>LINCOLN NATIONAL CORP</t>
  </si>
  <si>
    <t>AFG</t>
  </si>
  <si>
    <t>AMERICAN FINANCIAL GROUP INC NEW</t>
  </si>
  <si>
    <t>PL</t>
  </si>
  <si>
    <t>PROTECTIVE LIFE CORP</t>
  </si>
  <si>
    <t>AIG</t>
  </si>
  <si>
    <t>AMERICAN INTERNATIONAL GROUP INC</t>
  </si>
  <si>
    <t>HCC</t>
  </si>
  <si>
    <t>H C C INSURANCE HOLDINGS INC</t>
  </si>
  <si>
    <t>UNH</t>
  </si>
  <si>
    <t>UNITEDHEALTH GROUP INC</t>
  </si>
  <si>
    <t>Y</t>
  </si>
  <si>
    <t>ALLEGHANY CORP DE</t>
  </si>
  <si>
    <t>RGA</t>
  </si>
  <si>
    <t>REINSURANCE GROUP OF AMERICA INC</t>
  </si>
  <si>
    <t>HIG</t>
  </si>
  <si>
    <t>HARTFORD FINANCIAL SVCS GRP INC</t>
  </si>
  <si>
    <t>201406-201505</t>
  </si>
  <si>
    <t>ORI</t>
  </si>
  <si>
    <t>OLD REPUBLIC INTERNATIONAL CORP</t>
  </si>
  <si>
    <t>201506-201605</t>
  </si>
  <si>
    <t>CNC</t>
  </si>
  <si>
    <t>CENTENE CORP DEL</t>
  </si>
  <si>
    <t>FNF</t>
  </si>
  <si>
    <t>FIDELITY NATIONAL FINL INC NEW</t>
  </si>
  <si>
    <t>MTG</t>
  </si>
  <si>
    <t>M G I C INVESTMENT CORP WIS</t>
  </si>
  <si>
    <t>RDN</t>
  </si>
  <si>
    <t>RADIAN GROUP INC</t>
  </si>
  <si>
    <t>VOYA</t>
  </si>
  <si>
    <t>VOYA FINANCIAL INC</t>
  </si>
  <si>
    <t>AMBC</t>
  </si>
  <si>
    <t>AMBAC FINANCIAL GROUP INC</t>
  </si>
  <si>
    <t>201606-201705</t>
  </si>
  <si>
    <t>HMSY</t>
  </si>
  <si>
    <t>H M S HOLDINGS CORP</t>
  </si>
  <si>
    <t>ANTM</t>
  </si>
  <si>
    <t>ANTHEM INC</t>
  </si>
  <si>
    <t>NAVG</t>
  </si>
  <si>
    <t>NAVIGATORS GROUP INC</t>
  </si>
  <si>
    <t>WAGE</t>
  </si>
  <si>
    <t>WAGEWORKS INC</t>
  </si>
  <si>
    <t>HMN</t>
  </si>
  <si>
    <t>HORACE MANN EDUCATORS CORP NEW</t>
  </si>
  <si>
    <t>CNO</t>
  </si>
  <si>
    <t>C N O FINANCIAL GROUP INC</t>
  </si>
  <si>
    <t>MOH</t>
  </si>
  <si>
    <t>MOLINA HEALTHCARE INC</t>
  </si>
  <si>
    <t>PRA</t>
  </si>
  <si>
    <t>PROASSURANCE CORP</t>
  </si>
  <si>
    <t>SIGI</t>
  </si>
  <si>
    <t>SELECTIVE INSURANCE GROUP INC</t>
  </si>
  <si>
    <t>FAF</t>
  </si>
  <si>
    <t>FIRST AMERICAN FINL CORP NEW</t>
  </si>
  <si>
    <t>FFG</t>
  </si>
  <si>
    <t>F B L FINANCIAL GROUP INC</t>
  </si>
  <si>
    <t>PRI</t>
  </si>
  <si>
    <t>PRIMERICA INC</t>
  </si>
  <si>
    <t>AFSI</t>
  </si>
  <si>
    <t>AMTRUST FINANCIAL SERVICES INC</t>
  </si>
  <si>
    <t>201706-201805</t>
  </si>
  <si>
    <t>STFC</t>
  </si>
  <si>
    <t>STATE AUTO FINANCIAL CORP</t>
  </si>
  <si>
    <t>UIHC</t>
  </si>
  <si>
    <t>UNITED INSURANCE HOLDINGS CORP</t>
  </si>
  <si>
    <t>CIA</t>
  </si>
  <si>
    <t>CITIZENS INC</t>
  </si>
  <si>
    <t>EMCI</t>
  </si>
  <si>
    <t>E M C INSURANCE GROUP INC</t>
  </si>
  <si>
    <t>STC</t>
  </si>
  <si>
    <t>STEWART INFORMATION SVCS CORP</t>
  </si>
  <si>
    <t>UFCS</t>
  </si>
  <si>
    <t>UNITED FIRE GROUP INC</t>
  </si>
  <si>
    <t>IPCC</t>
  </si>
  <si>
    <t>INFINITY PROPERTY &amp; CASUALTY COR</t>
  </si>
  <si>
    <t>GTS</t>
  </si>
  <si>
    <t>TRIPLE S MANAGEMENT CORP</t>
  </si>
  <si>
    <t>AMSF</t>
  </si>
  <si>
    <t>AMERISAFE INC</t>
  </si>
  <si>
    <t>NMIH</t>
  </si>
  <si>
    <t>N M I HOLDINGS INC</t>
  </si>
  <si>
    <t>HRTG</t>
  </si>
  <si>
    <t>HERITAGE INSURANCE HOLDINGS INC</t>
  </si>
  <si>
    <t>UVE</t>
  </si>
  <si>
    <t>UNIVERSAL INSURANCE HOLDINGS INC</t>
  </si>
  <si>
    <t>SAFT</t>
  </si>
  <si>
    <t>SAFETY INSURANCE GROUP INC</t>
  </si>
  <si>
    <t>IHC</t>
  </si>
  <si>
    <t>INDEPENDENCE HOLDING CO NEW</t>
  </si>
  <si>
    <t>EIG</t>
  </si>
  <si>
    <t>EMPLOYERS HOLDINGS INC</t>
  </si>
  <si>
    <t>HCI</t>
  </si>
  <si>
    <t>H C I GROUP INC</t>
  </si>
  <si>
    <t>DGICA</t>
  </si>
  <si>
    <t>DONEGAL GROUP INC</t>
  </si>
  <si>
    <t>NWLI</t>
  </si>
  <si>
    <t>NATIONAL WESTERN LIFE GROUP INC</t>
  </si>
  <si>
    <t>201806-201905</t>
  </si>
  <si>
    <t>KNSL</t>
  </si>
  <si>
    <t>KINSALE CAPITAL GROUP INC</t>
  </si>
  <si>
    <t>KINS</t>
  </si>
  <si>
    <t>KINGSTONE COMPANIES INC</t>
  </si>
  <si>
    <t>TIPT</t>
  </si>
  <si>
    <t>TIPTREE INC</t>
  </si>
  <si>
    <t>ITIC</t>
  </si>
  <si>
    <t>INVESTORS TITLE CO</t>
  </si>
  <si>
    <t>201906-202005</t>
  </si>
  <si>
    <t>CI</t>
  </si>
  <si>
    <t>CIGNA CORP NEW</t>
  </si>
  <si>
    <t>RLI</t>
  </si>
  <si>
    <t>R L I CORP</t>
  </si>
  <si>
    <t>CRVL</t>
  </si>
  <si>
    <t>CORVEL CORP</t>
  </si>
  <si>
    <t>FNHC</t>
  </si>
  <si>
    <t>FEDNAT HOLDING CO</t>
  </si>
  <si>
    <t>EHTH</t>
  </si>
  <si>
    <t>EHEALTH INC</t>
  </si>
  <si>
    <t>NODK</t>
  </si>
  <si>
    <t>N I HOLDINGS INC</t>
  </si>
  <si>
    <t>BHF</t>
  </si>
  <si>
    <t>BRIGHTHOUSE FINANCIAL INC</t>
  </si>
  <si>
    <t>202006-202105</t>
  </si>
  <si>
    <t>GSHD</t>
  </si>
  <si>
    <t>GOOSEHEAD INSURANCE INC</t>
  </si>
  <si>
    <t>PTVCB</t>
  </si>
  <si>
    <t>PROTECTIVE INSURANCE CORP</t>
  </si>
  <si>
    <t>202106-202205</t>
  </si>
  <si>
    <t>PLMR</t>
  </si>
  <si>
    <t>PALOMAR HOLDINGS INC</t>
  </si>
  <si>
    <t>GL</t>
  </si>
  <si>
    <t>GLOBE LIFE INC</t>
  </si>
  <si>
    <t>202206-202305</t>
  </si>
  <si>
    <t>ELV</t>
  </si>
  <si>
    <t>ELEVANCE HEALTH INC</t>
  </si>
  <si>
    <t>SLQT</t>
  </si>
  <si>
    <t>SELECTQUOTE INC</t>
  </si>
  <si>
    <t>GBLI</t>
  </si>
  <si>
    <t>GLOBAL INDEMNITY GROUP LLC</t>
  </si>
  <si>
    <t>Portfolio_Weight</t>
  </si>
  <si>
    <t>Weighted_Return</t>
  </si>
  <si>
    <t>Weighted_Abnormal_Return</t>
  </si>
  <si>
    <t>Metrics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</si>
  <si>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</si>
  <si>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</si>
  <si>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</si>
  <si>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</si>
  <si>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</si>
  <si>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</si>
  <si>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</si>
  <si>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</si>
  <si>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</si>
  <si>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</si>
  <si>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Portfolio Total Return</t>
  </si>
  <si>
    <t>Portfolio Abnormal Return</t>
  </si>
  <si>
    <t>Portfolio Avg Combined Score</t>
  </si>
  <si>
    <t>Total Market Cap</t>
  </si>
  <si>
    <t>Metric</t>
  </si>
  <si>
    <t>Value</t>
  </si>
  <si>
    <t>Annualized Mean Return</t>
  </si>
  <si>
    <t>Annualized Volatility (Std Dev)</t>
  </si>
  <si>
    <t>Sharpe Ratio</t>
  </si>
  <si>
    <t>Return t-statistic</t>
  </si>
  <si>
    <t>Average Abnormal Return (Alpha)</t>
  </si>
  <si>
    <t>Abnormal Return t-statistic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</si>
</sst>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rgb="FFFFFFFF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 zoomScale="145" zoomScaleNormal="145">
      <pane ySplit="1" topLeftCell="A2" activePane="bottomLeft" state="frozen"/>
      <selection pane="bottomLeft" activeCell="D14" sqref="D14"/>
    </sheetView>
  </sheetViews>
  <sheetFormatPr defaultRowHeight="13.5" outlineLevelRow="0" outlineLevelCol="0" x14ac:dyDescent="0" defaultColWidth="9" customHeight="1"/>
  <cols>
    <col min="1" max="1" width="35.7083333333333" customWidth="1"/>
    <col min="2" max="11" width="15.7083333333333" customWidth="1"/>
  </cols>
  <sheetData>
    <row r="1" spans="1:11" x14ac:dyDescent="0.2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</row>
    <row r="2" spans="1:11" x14ac:dyDescent="0.25">
      <c r="A2" t="s">
        <v>234</v>
      </c>
      <c r="B2" s="5">
        <v>0.151494768414408</v>
      </c>
      <c r="C2" s="5">
        <v>0.157825887179532</v>
      </c>
      <c r="D2" s="5">
        <v>0.0241549356568741</v>
      </c>
      <c r="E2" s="5">
        <v>0.185487101492689</v>
      </c>
      <c r="F2" s="5">
        <v>0.178568069761395</v>
      </c>
      <c r="G2" s="5">
        <v>0.341134209570378</v>
      </c>
      <c r="H2" s="5">
        <v>0.238437689903951</v>
      </c>
      <c r="I2" s="5">
        <v>0.218097155859643</v>
      </c>
      <c r="J2" s="5">
        <v>0.198927977276971</v>
      </c>
      <c r="K2" s="5">
        <v>-0.0262629510269837</v>
      </c>
    </row>
    <row r="3" spans="1:11" x14ac:dyDescent="0.25">
      <c r="A3" t="s">
        <v>235</v>
      </c>
      <c r="B3" s="5">
        <v>-0.0424467842978706</v>
      </c>
      <c r="C3" s="5">
        <v>0.0589899371523743</v>
      </c>
      <c r="D3" s="5">
        <v>0.0404209611199538</v>
      </c>
      <c r="E3" s="5">
        <v>0.0139967754969319</v>
      </c>
      <c r="F3" s="5">
        <v>0.0355995353308513</v>
      </c>
      <c r="G3" s="5">
        <v>0.323904162049963</v>
      </c>
      <c r="H3" s="5">
        <v>0.141631916329174</v>
      </c>
      <c r="I3" s="5">
        <v>-0.218461918250342</v>
      </c>
      <c r="J3" s="5">
        <v>0.251508020229276</v>
      </c>
      <c r="K3" s="5">
        <v>-0.036866060189635</v>
      </c>
    </row>
    <row r="4" spans="1:11" x14ac:dyDescent="0.25">
      <c r="A4" t="s">
        <v>236</v>
      </c>
      <c r="B4" s="6">
        <v>0.83</v>
      </c>
      <c r="C4" s="6">
        <v>0.84</v>
      </c>
      <c r="D4" s="6">
        <v>0.85</v>
      </c>
      <c r="E4" s="6">
        <v>0.92</v>
      </c>
      <c r="F4" s="6">
        <v>0.93</v>
      </c>
      <c r="G4" s="6">
        <v>0.89</v>
      </c>
      <c r="H4" s="6">
        <v>0.93</v>
      </c>
      <c r="I4" s="6">
        <v>0.93</v>
      </c>
      <c r="J4" s="6">
        <v>0.89</v>
      </c>
      <c r="K4" s="6">
        <v>0.9</v>
      </c>
    </row>
    <row r="5" spans="1:11" x14ac:dyDescent="0.25">
      <c r="A5" t="s">
        <v>237</v>
      </c>
      <c r="B5" s="7">
        <v>123263.437010273</v>
      </c>
      <c r="C5" s="7">
        <v>98571.2565646896</v>
      </c>
      <c r="D5" s="7">
        <v>123117.489462765</v>
      </c>
      <c r="E5" s="7">
        <v>125414.047895651</v>
      </c>
      <c r="F5" s="7">
        <v>100715.84001199</v>
      </c>
      <c r="G5" s="7">
        <v>63213.1343756275</v>
      </c>
      <c r="H5" s="7">
        <v>96874.2658951912</v>
      </c>
      <c r="I5" s="7">
        <v>170586.543236</v>
      </c>
      <c r="J5" s="7">
        <v>247212.966510076</v>
      </c>
      <c r="K5" s="7">
        <v>828949.521892641</v>
      </c>
    </row>
    <row r="9" spans="1:2" x14ac:dyDescent="0.25">
      <c r="A9" s="2" t="s">
        <v>238</v>
      </c>
      <c r="B9" s="2" t="s">
        <v>239</v>
      </c>
    </row>
    <row r="10" spans="1:2" x14ac:dyDescent="0.25">
      <c r="A10" t="s">
        <v>240</v>
      </c>
      <c r="B10" s="5">
        <f>AVERAGE(B2:K2)</f>
        <v>0.166786484408886</v>
      </c>
    </row>
    <row r="11" spans="1:2" x14ac:dyDescent="0.25">
      <c r="A11" t="s">
        <v>241</v>
      </c>
      <c r="B11" s="5">
        <f>_xlfn.STDEV.S(B2:K2)</f>
        <v>0.104142731128113</v>
      </c>
    </row>
    <row r="12" spans="1:2" x14ac:dyDescent="0.25">
      <c r="A12" t="s">
        <v>242</v>
      </c>
      <c r="B12" s="1">
        <f>B10/B11</f>
        <v>1.60151824906254</v>
      </c>
    </row>
    <row r="13" spans="1:2" x14ac:dyDescent="0.25">
      <c r="A13" t="s">
        <v>243</v>
      </c>
      <c r="B13" s="1">
        <v>5.06444538136244</v>
      </c>
    </row>
    <row r="14" spans="1:2" x14ac:dyDescent="0.25">
      <c r="A14" t="s">
        <v>244</v>
      </c>
      <c r="B14" s="5">
        <f>AVERAGE(B3:K3)</f>
        <v>0.0568276544970677</v>
      </c>
    </row>
    <row r="15" spans="1:2" x14ac:dyDescent="0.25">
      <c r="A15" t="s">
        <v>245</v>
      </c>
      <c r="B15" s="1">
        <v>1.16703659496319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3.5" outlineLevelRow="0" outlineLevelCol="0" x14ac:dyDescent="0" defaultColWidth="9" customHeight="1"/>
  <cols>
    <col min="1" max="1" width="22.7083333333333" customWidth="1"/>
    <col min="2" max="2" width="10.7083333333333" customWidth="1"/>
    <col min="3" max="3" width="30.7083333333333" customWidth="1"/>
    <col min="4" max="5" width="10.7083333333333" customWidth="1"/>
    <col min="6" max="9" width="15.7083333333333" style="1" customWidth="1"/>
    <col min="10" max="13" width="15.7083333333333" style="5" customWidth="1"/>
    <col min="14" max="16" width="15.7083333333333" style="1" customWidth="1"/>
    <col min="17" max="17" width="18.7083333333333" style="5" customWidth="1"/>
    <col min="18" max="19" width="25.7083333333333" style="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5</v>
      </c>
      <c r="G1" s="2" t="s">
        <v>4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13</v>
      </c>
      <c r="M1" s="2" t="s">
        <v>15</v>
      </c>
      <c r="N1" s="2" t="s">
        <v>6</v>
      </c>
      <c r="O1" s="2" t="s">
        <v>7</v>
      </c>
      <c r="P1" s="2" t="s">
        <v>8</v>
      </c>
      <c r="Q1" s="2" t="s">
        <v>220</v>
      </c>
      <c r="R1" s="2" t="s">
        <v>221</v>
      </c>
      <c r="S1" s="2" t="s">
        <v>222</v>
      </c>
    </row>
    <row r="2" spans="1:19" x14ac:dyDescent="0.25">
      <c r="A2">
        <v>89258</v>
      </c>
      <c r="B2" t="s">
        <v>21</v>
      </c>
      <c r="C2" t="s">
        <v>22</v>
      </c>
      <c r="D2">
        <v>1</v>
      </c>
      <c r="E2" t="s">
        <v>18</v>
      </c>
      <c r="F2" s="1">
        <v>0.0715565559493029</v>
      </c>
      <c r="G2" s="1">
        <v>0.0170635664729046</v>
      </c>
      <c r="H2" s="1">
        <v>33885.9194335937</v>
      </c>
      <c r="I2" s="1">
        <v>0.729851537645811</v>
      </c>
      <c r="J2" s="5">
        <v>0.220126864532157</v>
      </c>
      <c r="K2" s="5">
        <v>0.0261853118198787</v>
      </c>
      <c r="L2" s="5">
        <v>0.193941552712278</v>
      </c>
      <c r="M2" s="5">
        <v>0.00338664</v>
      </c>
      <c r="N2" s="1">
        <v>1</v>
      </c>
      <c r="O2" s="1">
        <v>0.8</v>
      </c>
      <c r="P2" s="1">
        <v>0.9</v>
      </c>
      <c r="Q2" s="5">
        <v>0.274906495027959</v>
      </c>
      <c r="R2" s="5">
        <f t="shared" ref="R2:R65" si="0">Q2*J2</f>
        <v>0.0605143047900295</v>
      </c>
      <c r="S2" s="5">
        <f t="shared" ref="S2:S65" si="1">Q2*K2</f>
        <v>0.00719851229361703</v>
      </c>
    </row>
    <row r="3" spans="1:19" x14ac:dyDescent="0.25">
      <c r="A3">
        <v>82292</v>
      </c>
      <c r="B3" t="s">
        <v>19</v>
      </c>
      <c r="C3" t="s">
        <v>20</v>
      </c>
      <c r="D3">
        <v>1</v>
      </c>
      <c r="E3" t="s">
        <v>18</v>
      </c>
      <c r="F3" s="1">
        <v>0.0543782251454122</v>
      </c>
      <c r="G3" s="1">
        <v>0.0265875064532783</v>
      </c>
      <c r="H3" s="1">
        <v>2153.5071734314</v>
      </c>
      <c r="I3" s="1">
        <v>0.167641672601485</v>
      </c>
      <c r="J3" s="5">
        <v>0.225582101809277</v>
      </c>
      <c r="K3" s="5">
        <v>0.0316405490969986</v>
      </c>
      <c r="L3" s="5">
        <v>0.193941552712278</v>
      </c>
      <c r="M3" s="5">
        <v>0.00338664</v>
      </c>
      <c r="N3" s="1">
        <v>1</v>
      </c>
      <c r="O3" s="1">
        <v>0.8</v>
      </c>
      <c r="P3" s="1">
        <v>0.9</v>
      </c>
      <c r="Q3" s="5">
        <v>0.0174707701299285</v>
      </c>
      <c r="R3" s="5">
        <f t="shared" si="0"/>
        <v>0.00394109304613601</v>
      </c>
      <c r="S3" s="5">
        <f t="shared" si="1"/>
        <v>0.000552784760058379</v>
      </c>
    </row>
    <row r="4" spans="1:19" x14ac:dyDescent="0.25">
      <c r="A4">
        <v>64390</v>
      </c>
      <c r="B4" t="s">
        <v>16</v>
      </c>
      <c r="C4" t="s">
        <v>17</v>
      </c>
      <c r="D4">
        <v>1</v>
      </c>
      <c r="E4" t="s">
        <v>18</v>
      </c>
      <c r="F4" s="1">
        <v>0.210315496530663</v>
      </c>
      <c r="G4" s="1">
        <v>0.0710900473933649</v>
      </c>
      <c r="H4" s="1">
        <v>15313.0080459595</v>
      </c>
      <c r="I4" s="1">
        <v>0.101686383085829</v>
      </c>
      <c r="J4" s="5">
        <v>0.0450328695615383</v>
      </c>
      <c r="K4" s="5">
        <v>-0.14890868315074</v>
      </c>
      <c r="L4" s="5">
        <v>0.193941552712278</v>
      </c>
      <c r="M4" s="5">
        <v>0.00338664</v>
      </c>
      <c r="N4" s="1">
        <v>0.8</v>
      </c>
      <c r="O4" s="1">
        <v>1</v>
      </c>
      <c r="P4" s="1">
        <v>0.9</v>
      </c>
      <c r="Q4" s="5">
        <v>0.124229929145033</v>
      </c>
      <c r="R4" s="5">
        <f t="shared" si="0"/>
        <v>0.00559443019482743</v>
      </c>
      <c r="S4" s="5">
        <f t="shared" si="1"/>
        <v>-0.0184989151568967</v>
      </c>
    </row>
    <row r="5" spans="1:19" x14ac:dyDescent="0.25">
      <c r="A5">
        <v>76697</v>
      </c>
      <c r="B5" t="s">
        <v>33</v>
      </c>
      <c r="C5" t="s">
        <v>34</v>
      </c>
      <c r="D5">
        <v>1</v>
      </c>
      <c r="E5" t="s">
        <v>18</v>
      </c>
      <c r="F5" s="1">
        <v>-0.0255884015780246</v>
      </c>
      <c r="G5" s="1">
        <v>0.0127572016460905</v>
      </c>
      <c r="H5" s="1">
        <v>2524.75787578583</v>
      </c>
      <c r="I5" s="1">
        <v>-0.0548200173497501</v>
      </c>
      <c r="J5" s="5">
        <v>0.254471232136058</v>
      </c>
      <c r="K5" s="5">
        <v>0.0605296794237797</v>
      </c>
      <c r="L5" s="5">
        <v>0.193941552712278</v>
      </c>
      <c r="M5" s="5">
        <v>0.00338664</v>
      </c>
      <c r="N5" s="1">
        <v>1</v>
      </c>
      <c r="O5" s="1">
        <v>0.6</v>
      </c>
      <c r="P5" s="1">
        <v>0.8</v>
      </c>
      <c r="Q5" s="5">
        <v>0.0204826178550855</v>
      </c>
      <c r="R5" s="5">
        <f t="shared" si="0"/>
        <v>0.00521223700295564</v>
      </c>
      <c r="S5" s="5">
        <f t="shared" si="1"/>
        <v>0.00123980629252811</v>
      </c>
    </row>
    <row r="6" spans="1:19" x14ac:dyDescent="0.25">
      <c r="A6">
        <v>93089</v>
      </c>
      <c r="B6" t="s">
        <v>37</v>
      </c>
      <c r="C6" t="s">
        <v>38</v>
      </c>
      <c r="D6">
        <v>1</v>
      </c>
      <c r="E6" t="s">
        <v>18</v>
      </c>
      <c r="F6" s="1">
        <v>-0.00670719120504493</v>
      </c>
      <c r="G6" s="1">
        <v>0.038846380223661</v>
      </c>
      <c r="H6" s="1">
        <v>10007.4514278908</v>
      </c>
      <c r="I6" s="1">
        <v>0.152030273906776</v>
      </c>
      <c r="J6" s="5">
        <v>0.00629035758231189</v>
      </c>
      <c r="K6" s="5">
        <v>-0.187651195129966</v>
      </c>
      <c r="L6" s="5">
        <v>0.193941552712278</v>
      </c>
      <c r="M6" s="5">
        <v>0.00338664</v>
      </c>
      <c r="N6" s="1">
        <v>1</v>
      </c>
      <c r="O6" s="1">
        <v>0.6</v>
      </c>
      <c r="P6" s="1">
        <v>0.8</v>
      </c>
      <c r="Q6" s="5">
        <v>0.081187509212945</v>
      </c>
      <c r="R6" s="5">
        <f t="shared" si="0"/>
        <v>0.000510698464166665</v>
      </c>
      <c r="S6" s="5">
        <f t="shared" si="1"/>
        <v>-0.0152349331334342</v>
      </c>
    </row>
    <row r="7" spans="1:19" x14ac:dyDescent="0.25">
      <c r="A7">
        <v>38093</v>
      </c>
      <c r="B7" t="s">
        <v>25</v>
      </c>
      <c r="C7" t="s">
        <v>26</v>
      </c>
      <c r="D7">
        <v>1</v>
      </c>
      <c r="E7" t="s">
        <v>18</v>
      </c>
      <c r="F7" s="1">
        <v>-0.00162956351171128</v>
      </c>
      <c r="G7" s="1">
        <v>0.0464646464646465</v>
      </c>
      <c r="H7" s="1">
        <v>5537.88208592987</v>
      </c>
      <c r="I7" s="1">
        <v>0.180254896448318</v>
      </c>
      <c r="J7" s="5">
        <v>0.0743024680711855</v>
      </c>
      <c r="K7" s="5">
        <v>-0.119639084641093</v>
      </c>
      <c r="L7" s="5">
        <v>0.193941552712278</v>
      </c>
      <c r="M7" s="5">
        <v>0.00338664</v>
      </c>
      <c r="N7" s="1">
        <v>1</v>
      </c>
      <c r="O7" s="1">
        <v>0.6</v>
      </c>
      <c r="P7" s="1">
        <v>0.8</v>
      </c>
      <c r="Q7" s="5">
        <v>0.0449272081020127</v>
      </c>
      <c r="R7" s="5">
        <f t="shared" si="0"/>
        <v>0.00333820244552731</v>
      </c>
      <c r="S7" s="5">
        <f t="shared" si="1"/>
        <v>-0.0053750500528047</v>
      </c>
    </row>
    <row r="8" spans="1:19" x14ac:dyDescent="0.25">
      <c r="A8">
        <v>52936</v>
      </c>
      <c r="B8" t="s">
        <v>29</v>
      </c>
      <c r="C8" t="s">
        <v>30</v>
      </c>
      <c r="D8">
        <v>1</v>
      </c>
      <c r="E8" t="s">
        <v>18</v>
      </c>
      <c r="F8" s="1">
        <v>0.0334934719249235</v>
      </c>
      <c r="G8" s="1">
        <v>0.053665910808768</v>
      </c>
      <c r="H8" s="1">
        <v>2414.59086971283</v>
      </c>
      <c r="I8" s="1">
        <v>0.00219098868139209</v>
      </c>
      <c r="J8" s="5">
        <v>0.109438778119242</v>
      </c>
      <c r="K8" s="5">
        <v>-0.0845027745930367</v>
      </c>
      <c r="L8" s="5">
        <v>0.193941552712278</v>
      </c>
      <c r="M8" s="5">
        <v>0.00338664</v>
      </c>
      <c r="N8" s="1">
        <v>0.8</v>
      </c>
      <c r="O8" s="1">
        <v>0.8</v>
      </c>
      <c r="P8" s="1">
        <v>0.8</v>
      </c>
      <c r="Q8" s="5">
        <v>0.0195888653462713</v>
      </c>
      <c r="R8" s="5">
        <f t="shared" si="0"/>
        <v>0.00214378148823829</v>
      </c>
      <c r="S8" s="5">
        <f t="shared" si="1"/>
        <v>-0.00165531347288931</v>
      </c>
    </row>
    <row r="9" spans="1:19" x14ac:dyDescent="0.25">
      <c r="A9">
        <v>45751</v>
      </c>
      <c r="B9" t="s">
        <v>27</v>
      </c>
      <c r="C9" t="s">
        <v>28</v>
      </c>
      <c r="D9">
        <v>1</v>
      </c>
      <c r="E9" t="s">
        <v>18</v>
      </c>
      <c r="F9" s="1">
        <v>0.0297367960886299</v>
      </c>
      <c r="G9" s="1">
        <v>0.0626631853785901</v>
      </c>
      <c r="H9" s="1">
        <v>21973.8033121033</v>
      </c>
      <c r="I9" s="1">
        <v>0.034530626409856</v>
      </c>
      <c r="J9" s="5">
        <v>0.28394509561096</v>
      </c>
      <c r="K9" s="5">
        <v>0.0900035428986818</v>
      </c>
      <c r="L9" s="5">
        <v>0.193941552712278</v>
      </c>
      <c r="M9" s="5">
        <v>0.00338664</v>
      </c>
      <c r="N9" s="1">
        <v>0.8</v>
      </c>
      <c r="O9" s="1">
        <v>0.8</v>
      </c>
      <c r="P9" s="1">
        <v>0.8</v>
      </c>
      <c r="Q9" s="5">
        <v>0.178267001513774</v>
      </c>
      <c r="R9" s="5">
        <f t="shared" si="0"/>
        <v>0.0506180407891077</v>
      </c>
      <c r="S9" s="5">
        <f t="shared" si="1"/>
        <v>0.0160446617181643</v>
      </c>
    </row>
    <row r="10" spans="1:19" x14ac:dyDescent="0.25">
      <c r="A10">
        <v>23473</v>
      </c>
      <c r="B10" t="s">
        <v>23</v>
      </c>
      <c r="C10" t="s">
        <v>24</v>
      </c>
      <c r="D10">
        <v>1</v>
      </c>
      <c r="E10" t="s">
        <v>18</v>
      </c>
      <c r="F10" s="1">
        <v>0.0610304937013043</v>
      </c>
      <c r="G10" s="1">
        <v>0.0661389172625128</v>
      </c>
      <c r="H10" s="1">
        <v>7513.52194039917</v>
      </c>
      <c r="I10" s="1">
        <v>0.0809886931369971</v>
      </c>
      <c r="J10" s="5">
        <v>0.0720404130736019</v>
      </c>
      <c r="K10" s="5">
        <v>-0.121901139638676</v>
      </c>
      <c r="L10" s="5">
        <v>0.193941552712278</v>
      </c>
      <c r="M10" s="5">
        <v>0.00338664</v>
      </c>
      <c r="N10" s="1">
        <v>0.8</v>
      </c>
      <c r="O10" s="1">
        <v>0.8</v>
      </c>
      <c r="P10" s="1">
        <v>0.8</v>
      </c>
      <c r="Q10" s="5">
        <v>0.0609549930022881</v>
      </c>
      <c r="R10" s="5">
        <f t="shared" si="0"/>
        <v>0.00439122287478335</v>
      </c>
      <c r="S10" s="5">
        <f t="shared" si="1"/>
        <v>-0.00743048311364644</v>
      </c>
    </row>
    <row r="11" spans="1:19" x14ac:dyDescent="0.25">
      <c r="A11">
        <v>59192</v>
      </c>
      <c r="B11" t="s">
        <v>31</v>
      </c>
      <c r="C11" t="s">
        <v>32</v>
      </c>
      <c r="D11">
        <v>1</v>
      </c>
      <c r="E11" t="s">
        <v>18</v>
      </c>
      <c r="F11" s="1">
        <v>0.113914183803649</v>
      </c>
      <c r="G11" s="1">
        <v>0.0760754115772703</v>
      </c>
      <c r="H11" s="1">
        <v>21938.9948454666</v>
      </c>
      <c r="I11" s="1">
        <v>0.000812047836999852</v>
      </c>
      <c r="J11" s="5">
        <v>0.0855734507705745</v>
      </c>
      <c r="K11" s="5">
        <v>-0.108368101941704</v>
      </c>
      <c r="L11" s="5">
        <v>0.193941552712278</v>
      </c>
      <c r="M11" s="5">
        <v>0.00338664</v>
      </c>
      <c r="N11" s="1">
        <v>0.6</v>
      </c>
      <c r="O11" s="1">
        <v>1</v>
      </c>
      <c r="P11" s="1">
        <v>0.8</v>
      </c>
      <c r="Q11" s="5">
        <v>0.177984610664703</v>
      </c>
      <c r="R11" s="5">
        <f t="shared" si="0"/>
        <v>0.0152307573186358</v>
      </c>
      <c r="S11" s="5">
        <f t="shared" si="1"/>
        <v>-0.0192878544325671</v>
      </c>
    </row>
    <row r="12" spans="1:19" x14ac:dyDescent="0.25">
      <c r="A12">
        <v>82775</v>
      </c>
      <c r="B12" t="s">
        <v>97</v>
      </c>
      <c r="C12" t="s">
        <v>98</v>
      </c>
      <c r="D12">
        <v>2</v>
      </c>
      <c r="E12" t="s">
        <v>99</v>
      </c>
      <c r="F12" s="1">
        <v>0.123906678910854</v>
      </c>
      <c r="G12" s="1">
        <v>0.018492961634005</v>
      </c>
      <c r="H12" s="1">
        <v>16103.471137558</v>
      </c>
      <c r="I12" s="1">
        <v>-0.0101846200793409</v>
      </c>
      <c r="J12" s="5">
        <v>0.207814988257714</v>
      </c>
      <c r="K12" s="5">
        <v>0.108979038230556</v>
      </c>
      <c r="L12" s="5">
        <v>0.0988359500271581</v>
      </c>
      <c r="M12" s="5">
        <v>0.002410992</v>
      </c>
      <c r="N12" s="1">
        <v>1</v>
      </c>
      <c r="O12" s="1">
        <v>1</v>
      </c>
      <c r="P12" s="1">
        <v>1</v>
      </c>
      <c r="Q12" s="5">
        <v>0.163368832850271</v>
      </c>
      <c r="R12" s="5">
        <f t="shared" si="0"/>
        <v>0.0339504920804556</v>
      </c>
      <c r="S12" s="5">
        <f t="shared" si="1"/>
        <v>0.017803778280871</v>
      </c>
    </row>
    <row r="13" spans="1:19" x14ac:dyDescent="0.25">
      <c r="A13">
        <v>52936</v>
      </c>
      <c r="B13" t="s">
        <v>29</v>
      </c>
      <c r="C13" t="s">
        <v>30</v>
      </c>
      <c r="D13">
        <v>2</v>
      </c>
      <c r="E13" t="s">
        <v>99</v>
      </c>
      <c r="F13" s="1">
        <v>0.0495149707604561</v>
      </c>
      <c r="G13" s="1">
        <v>0.0410380205190103</v>
      </c>
      <c r="H13" s="1">
        <v>2586.16517033386</v>
      </c>
      <c r="I13" s="1">
        <v>0.0135343127216289</v>
      </c>
      <c r="J13" s="5">
        <v>0.237719722442802</v>
      </c>
      <c r="K13" s="5">
        <v>0.138883772415644</v>
      </c>
      <c r="L13" s="5">
        <v>0.0988359500271581</v>
      </c>
      <c r="M13" s="5">
        <v>0.002410992</v>
      </c>
      <c r="N13" s="1">
        <v>1</v>
      </c>
      <c r="O13" s="1">
        <v>0.8</v>
      </c>
      <c r="P13" s="1">
        <v>0.9</v>
      </c>
      <c r="Q13" s="5">
        <v>0.0262365040323558</v>
      </c>
      <c r="R13" s="5">
        <f t="shared" si="0"/>
        <v>0.00623693445644108</v>
      </c>
      <c r="S13" s="5">
        <f t="shared" si="1"/>
        <v>0.00364382465501183</v>
      </c>
    </row>
    <row r="14" spans="1:19" x14ac:dyDescent="0.25">
      <c r="A14">
        <v>64390</v>
      </c>
      <c r="B14" t="s">
        <v>16</v>
      </c>
      <c r="C14" t="s">
        <v>17</v>
      </c>
      <c r="D14">
        <v>2</v>
      </c>
      <c r="E14" t="s">
        <v>99</v>
      </c>
      <c r="F14" s="1">
        <v>0.19443823345321</v>
      </c>
      <c r="G14" s="1">
        <v>0.0715071507150715</v>
      </c>
      <c r="H14" s="1">
        <v>15013.1203613281</v>
      </c>
      <c r="I14" s="1">
        <v>0.0636251266820151</v>
      </c>
      <c r="J14" s="5">
        <v>0.120414144162033</v>
      </c>
      <c r="K14" s="5">
        <v>0.0215781941348754</v>
      </c>
      <c r="L14" s="5">
        <v>0.0988359500271581</v>
      </c>
      <c r="M14" s="5">
        <v>0.002410992</v>
      </c>
      <c r="N14" s="1">
        <v>0.8</v>
      </c>
      <c r="O14" s="1">
        <v>1</v>
      </c>
      <c r="P14" s="1">
        <v>0.9</v>
      </c>
      <c r="Q14" s="5">
        <v>0.152307283933987</v>
      </c>
      <c r="R14" s="5">
        <f t="shared" si="0"/>
        <v>0.0183399512445548</v>
      </c>
      <c r="S14" s="5">
        <f t="shared" si="1"/>
        <v>0.00328651614088317</v>
      </c>
    </row>
    <row r="15" spans="1:19" x14ac:dyDescent="0.25">
      <c r="A15">
        <v>93089</v>
      </c>
      <c r="B15" t="s">
        <v>37</v>
      </c>
      <c r="C15" t="s">
        <v>38</v>
      </c>
      <c r="D15">
        <v>2</v>
      </c>
      <c r="E15" t="s">
        <v>99</v>
      </c>
      <c r="F15" s="1">
        <v>-0.0108079202992995</v>
      </c>
      <c r="G15" s="1">
        <v>0.0310407790626902</v>
      </c>
      <c r="H15" s="1">
        <v>9985.1673561554</v>
      </c>
      <c r="I15" s="1">
        <v>0.0400066478961364</v>
      </c>
      <c r="J15" s="5">
        <v>0.226220698515709</v>
      </c>
      <c r="K15" s="5">
        <v>0.127384748488551</v>
      </c>
      <c r="L15" s="5">
        <v>0.0988359500271581</v>
      </c>
      <c r="M15" s="5">
        <v>0.002410992</v>
      </c>
      <c r="N15" s="1">
        <v>1</v>
      </c>
      <c r="O15" s="1">
        <v>0.6</v>
      </c>
      <c r="P15" s="1">
        <v>0.8</v>
      </c>
      <c r="Q15" s="5">
        <v>0.101298976031643</v>
      </c>
      <c r="R15" s="5">
        <f t="shared" si="0"/>
        <v>0.0229159251168043</v>
      </c>
      <c r="S15" s="5">
        <f t="shared" si="1"/>
        <v>0.0129039445839386</v>
      </c>
    </row>
    <row r="16" spans="1:19" x14ac:dyDescent="0.25">
      <c r="A16">
        <v>82486</v>
      </c>
      <c r="B16" t="s">
        <v>47</v>
      </c>
      <c r="C16" t="s">
        <v>48</v>
      </c>
      <c r="D16">
        <v>2</v>
      </c>
      <c r="E16" t="s">
        <v>99</v>
      </c>
      <c r="F16" s="1">
        <v>-0.0245951561538827</v>
      </c>
      <c r="G16" s="1">
        <v>0.0422592997811816</v>
      </c>
      <c r="H16" s="1">
        <v>3476.18423867035</v>
      </c>
      <c r="I16" s="1">
        <v>0.135476677197547</v>
      </c>
      <c r="J16" s="5">
        <v>0.109978314199721</v>
      </c>
      <c r="K16" s="5">
        <v>0.0111423641725632</v>
      </c>
      <c r="L16" s="5">
        <v>0.0988359500271581</v>
      </c>
      <c r="M16" s="5">
        <v>0.002410992</v>
      </c>
      <c r="N16" s="1">
        <v>1</v>
      </c>
      <c r="O16" s="1">
        <v>0.6</v>
      </c>
      <c r="P16" s="1">
        <v>0.8</v>
      </c>
      <c r="Q16" s="5">
        <v>0.0352656987424019</v>
      </c>
      <c r="R16" s="5">
        <f t="shared" si="0"/>
        <v>0.00387846209676458</v>
      </c>
      <c r="S16" s="5">
        <f t="shared" si="1"/>
        <v>0.000392943258187746</v>
      </c>
    </row>
    <row r="17" spans="1:19" x14ac:dyDescent="0.25">
      <c r="A17">
        <v>38093</v>
      </c>
      <c r="B17" t="s">
        <v>25</v>
      </c>
      <c r="C17" t="s">
        <v>26</v>
      </c>
      <c r="D17">
        <v>2</v>
      </c>
      <c r="E17" t="s">
        <v>99</v>
      </c>
      <c r="F17" s="1">
        <v>-0.0124360645513731</v>
      </c>
      <c r="G17" s="1">
        <v>0.0443213296398892</v>
      </c>
      <c r="H17" s="1">
        <v>7320.67336029053</v>
      </c>
      <c r="I17" s="1">
        <v>0.262297034419786</v>
      </c>
      <c r="J17" s="5">
        <v>0.0905639888308056</v>
      </c>
      <c r="K17" s="5">
        <v>-0.00827196119635243</v>
      </c>
      <c r="L17" s="5">
        <v>0.0988359500271581</v>
      </c>
      <c r="M17" s="5">
        <v>0.002410992</v>
      </c>
      <c r="N17" s="1">
        <v>1</v>
      </c>
      <c r="O17" s="1">
        <v>0.6</v>
      </c>
      <c r="P17" s="1">
        <v>0.8</v>
      </c>
      <c r="Q17" s="5">
        <v>0.0742678303536302</v>
      </c>
      <c r="R17" s="5">
        <f t="shared" si="0"/>
        <v>0.00672599095863433</v>
      </c>
      <c r="S17" s="5">
        <f t="shared" si="1"/>
        <v>-0.000614340610822514</v>
      </c>
    </row>
    <row r="18" spans="1:19" x14ac:dyDescent="0.25">
      <c r="A18">
        <v>63467</v>
      </c>
      <c r="B18" t="s">
        <v>43</v>
      </c>
      <c r="C18" t="s">
        <v>44</v>
      </c>
      <c r="D18">
        <v>2</v>
      </c>
      <c r="E18" t="s">
        <v>99</v>
      </c>
      <c r="F18" s="1">
        <v>0.0210743192981225</v>
      </c>
      <c r="G18" s="1">
        <v>0.0477859190825104</v>
      </c>
      <c r="H18" s="1">
        <v>4452.18211727142</v>
      </c>
      <c r="I18" s="1">
        <v>0.139453809326397</v>
      </c>
      <c r="J18" s="5">
        <v>0.0873028384703307</v>
      </c>
      <c r="K18" s="5">
        <v>-0.0115331115568274</v>
      </c>
      <c r="L18" s="5">
        <v>0.0988359500271581</v>
      </c>
      <c r="M18" s="5">
        <v>0.002410992</v>
      </c>
      <c r="N18" s="1">
        <v>1</v>
      </c>
      <c r="O18" s="1">
        <v>0.6</v>
      </c>
      <c r="P18" s="1">
        <v>0.8</v>
      </c>
      <c r="Q18" s="5">
        <v>0.0451671437743068</v>
      </c>
      <c r="R18" s="5">
        <f t="shared" si="0"/>
        <v>0.00394321985709451</v>
      </c>
      <c r="S18" s="5">
        <f t="shared" si="1"/>
        <v>-0.000520917707852342</v>
      </c>
    </row>
    <row r="19" spans="1:19" x14ac:dyDescent="0.25">
      <c r="A19">
        <v>45751</v>
      </c>
      <c r="B19" t="s">
        <v>27</v>
      </c>
      <c r="C19" t="s">
        <v>28</v>
      </c>
      <c r="D19">
        <v>2</v>
      </c>
      <c r="E19" t="s">
        <v>99</v>
      </c>
      <c r="F19" s="1">
        <v>0.0267648217064454</v>
      </c>
      <c r="G19" s="1">
        <v>0.0508684863523573</v>
      </c>
      <c r="H19" s="1">
        <v>28480.3236522751</v>
      </c>
      <c r="I19" s="1">
        <v>0.0282623280778262</v>
      </c>
      <c r="J19" s="5">
        <v>0.182695327761766</v>
      </c>
      <c r="K19" s="5">
        <v>0.0838593777346075</v>
      </c>
      <c r="L19" s="5">
        <v>0.0988359500271581</v>
      </c>
      <c r="M19" s="5">
        <v>0.002410992</v>
      </c>
      <c r="N19" s="1">
        <v>0.8</v>
      </c>
      <c r="O19" s="1">
        <v>0.8</v>
      </c>
      <c r="P19" s="1">
        <v>0.8</v>
      </c>
      <c r="Q19" s="5">
        <v>0.288931323844738</v>
      </c>
      <c r="R19" s="5">
        <f t="shared" si="0"/>
        <v>0.0527864029104554</v>
      </c>
      <c r="S19" s="5">
        <f t="shared" si="1"/>
        <v>0.0242296010256561</v>
      </c>
    </row>
    <row r="20" spans="1:19" x14ac:dyDescent="0.25">
      <c r="A20">
        <v>90272</v>
      </c>
      <c r="B20" t="s">
        <v>55</v>
      </c>
      <c r="C20" t="s">
        <v>56</v>
      </c>
      <c r="D20">
        <v>2</v>
      </c>
      <c r="E20" t="s">
        <v>99</v>
      </c>
      <c r="F20" s="1">
        <v>0.0778447519916448</v>
      </c>
      <c r="G20" s="1">
        <v>0.0572280602101676</v>
      </c>
      <c r="H20" s="1">
        <v>3275.4090206604</v>
      </c>
      <c r="I20" s="1">
        <v>0.285984457888696</v>
      </c>
      <c r="J20" s="5">
        <v>0.106132994428632</v>
      </c>
      <c r="K20" s="5">
        <v>0.00729704440147438</v>
      </c>
      <c r="L20" s="5">
        <v>0.0988359500271581</v>
      </c>
      <c r="M20" s="5">
        <v>0.002410992</v>
      </c>
      <c r="N20" s="1">
        <v>0.8</v>
      </c>
      <c r="O20" s="1">
        <v>0.8</v>
      </c>
      <c r="P20" s="1">
        <v>0.8</v>
      </c>
      <c r="Q20" s="5">
        <v>0.0332288451503186</v>
      </c>
      <c r="R20" s="5">
        <f t="shared" si="0"/>
        <v>0.00352667683720864</v>
      </c>
      <c r="S20" s="5">
        <f t="shared" si="1"/>
        <v>0.000242472358471592</v>
      </c>
    </row>
    <row r="21" spans="1:19" x14ac:dyDescent="0.25">
      <c r="A21">
        <v>23473</v>
      </c>
      <c r="B21" t="s">
        <v>23</v>
      </c>
      <c r="C21" t="s">
        <v>24</v>
      </c>
      <c r="D21">
        <v>2</v>
      </c>
      <c r="E21" t="s">
        <v>99</v>
      </c>
      <c r="F21" s="1">
        <v>0.0886174860109543</v>
      </c>
      <c r="G21" s="1">
        <v>0.0603398892495704</v>
      </c>
      <c r="H21" s="1">
        <v>7878.56015014648</v>
      </c>
      <c r="I21" s="1">
        <v>0.102164923376307</v>
      </c>
      <c r="J21" s="5">
        <v>0.0690854510290471</v>
      </c>
      <c r="K21" s="5">
        <v>-0.029750498998111</v>
      </c>
      <c r="L21" s="5">
        <v>0.0988359500271581</v>
      </c>
      <c r="M21" s="5">
        <v>0.002410992</v>
      </c>
      <c r="N21" s="1">
        <v>0.8</v>
      </c>
      <c r="O21" s="1">
        <v>0.8</v>
      </c>
      <c r="P21" s="1">
        <v>0.8</v>
      </c>
      <c r="Q21" s="5">
        <v>0.0799275612863471</v>
      </c>
      <c r="R21" s="5">
        <f t="shared" si="0"/>
        <v>0.0055218316211191</v>
      </c>
      <c r="S21" s="5">
        <f t="shared" si="1"/>
        <v>-0.00237788483197093</v>
      </c>
    </row>
    <row r="22" spans="1:19" x14ac:dyDescent="0.25">
      <c r="A22">
        <v>90272</v>
      </c>
      <c r="B22" t="s">
        <v>55</v>
      </c>
      <c r="C22" t="s">
        <v>56</v>
      </c>
      <c r="D22">
        <v>3</v>
      </c>
      <c r="E22" t="s">
        <v>102</v>
      </c>
      <c r="F22" s="1">
        <v>0.0518041016873698</v>
      </c>
      <c r="G22" s="1">
        <v>0.017669997562759</v>
      </c>
      <c r="H22" s="1">
        <v>3736.08294064331</v>
      </c>
      <c r="I22" s="1">
        <v>0.36020529182716</v>
      </c>
      <c r="J22" s="5">
        <v>0.183844981433449</v>
      </c>
      <c r="K22" s="5">
        <v>0.200111006896528</v>
      </c>
      <c r="L22" s="5">
        <v>-0.0162660254630797</v>
      </c>
      <c r="M22" s="5">
        <v>0.001574424</v>
      </c>
      <c r="N22" s="1">
        <v>1</v>
      </c>
      <c r="O22" s="1">
        <v>0.8</v>
      </c>
      <c r="P22" s="1">
        <v>0.9</v>
      </c>
      <c r="Q22" s="5">
        <v>0.0303456719020675</v>
      </c>
      <c r="R22" s="5">
        <f t="shared" si="0"/>
        <v>0.00557889948742113</v>
      </c>
      <c r="S22" s="5">
        <f t="shared" si="1"/>
        <v>0.0060725029592744</v>
      </c>
    </row>
    <row r="23" spans="1:19" x14ac:dyDescent="0.25">
      <c r="A23">
        <v>82486</v>
      </c>
      <c r="B23" t="s">
        <v>47</v>
      </c>
      <c r="C23" t="s">
        <v>48</v>
      </c>
      <c r="D23">
        <v>3</v>
      </c>
      <c r="E23" t="s">
        <v>102</v>
      </c>
      <c r="F23" s="1">
        <v>0.0582871740858621</v>
      </c>
      <c r="G23" s="1">
        <v>0.0353641070838383</v>
      </c>
      <c r="H23" s="1">
        <v>3790.73121590424</v>
      </c>
      <c r="I23" s="1">
        <v>-0.01620294599018</v>
      </c>
      <c r="J23" s="5">
        <v>0.241543015309627</v>
      </c>
      <c r="K23" s="5">
        <v>0.257809040772707</v>
      </c>
      <c r="L23" s="5">
        <v>-0.0162660254630797</v>
      </c>
      <c r="M23" s="5">
        <v>0.001574424</v>
      </c>
      <c r="N23" s="1">
        <v>1</v>
      </c>
      <c r="O23" s="1">
        <v>0.8</v>
      </c>
      <c r="P23" s="1">
        <v>0.9</v>
      </c>
      <c r="Q23" s="5">
        <v>0.0307895428378654</v>
      </c>
      <c r="R23" s="5">
        <f t="shared" si="0"/>
        <v>0.00743699901706294</v>
      </c>
      <c r="S23" s="5">
        <f t="shared" si="1"/>
        <v>0.00793782250486025</v>
      </c>
    </row>
    <row r="24" spans="1:19" x14ac:dyDescent="0.25">
      <c r="A24">
        <v>38093</v>
      </c>
      <c r="B24" t="s">
        <v>25</v>
      </c>
      <c r="C24" t="s">
        <v>26</v>
      </c>
      <c r="D24">
        <v>3</v>
      </c>
      <c r="E24" t="s">
        <v>102</v>
      </c>
      <c r="F24" s="1">
        <v>0.047176334217192</v>
      </c>
      <c r="G24" s="1">
        <v>0.0420560747663551</v>
      </c>
      <c r="H24" s="1">
        <v>7944.08217186356</v>
      </c>
      <c r="I24" s="1">
        <v>0.458485344068436</v>
      </c>
      <c r="J24" s="5">
        <v>0.0322483537206313</v>
      </c>
      <c r="K24" s="5">
        <v>0.0485143791837109</v>
      </c>
      <c r="L24" s="5">
        <v>-0.0162660254630797</v>
      </c>
      <c r="M24" s="5">
        <v>0.001574424</v>
      </c>
      <c r="N24" s="1">
        <v>1</v>
      </c>
      <c r="O24" s="1">
        <v>0.8</v>
      </c>
      <c r="P24" s="1">
        <v>0.9</v>
      </c>
      <c r="Q24" s="5">
        <v>0.0645244002824322</v>
      </c>
      <c r="R24" s="5">
        <f t="shared" si="0"/>
        <v>0.00208080568391947</v>
      </c>
      <c r="S24" s="5">
        <f t="shared" si="1"/>
        <v>0.00313036122190346</v>
      </c>
    </row>
    <row r="25" spans="1:19" x14ac:dyDescent="0.25">
      <c r="A25">
        <v>48653</v>
      </c>
      <c r="B25" t="s">
        <v>39</v>
      </c>
      <c r="C25" t="s">
        <v>40</v>
      </c>
      <c r="D25">
        <v>3</v>
      </c>
      <c r="E25" t="s">
        <v>102</v>
      </c>
      <c r="F25" s="1">
        <v>0.411040217581265</v>
      </c>
      <c r="G25" s="1">
        <v>0.0517997632806517</v>
      </c>
      <c r="H25" s="1">
        <v>28650.1094971619</v>
      </c>
      <c r="I25" s="1">
        <v>0.17396461162346</v>
      </c>
      <c r="J25" s="5">
        <v>-0.191207366693916</v>
      </c>
      <c r="K25" s="5">
        <v>-0.174941341230836</v>
      </c>
      <c r="L25" s="5">
        <v>-0.0162660254630797</v>
      </c>
      <c r="M25" s="5">
        <v>0.001574424</v>
      </c>
      <c r="N25" s="1">
        <v>0.8</v>
      </c>
      <c r="O25" s="1">
        <v>1</v>
      </c>
      <c r="P25" s="1">
        <v>0.9</v>
      </c>
      <c r="Q25" s="5">
        <v>0.232705439512936</v>
      </c>
      <c r="R25" s="5">
        <f t="shared" si="0"/>
        <v>-0.0444949943046188</v>
      </c>
      <c r="S25" s="5">
        <f t="shared" si="1"/>
        <v>-0.0407098017001041</v>
      </c>
    </row>
    <row r="26" spans="1:19" x14ac:dyDescent="0.25">
      <c r="A26">
        <v>52936</v>
      </c>
      <c r="B26" t="s">
        <v>29</v>
      </c>
      <c r="C26" t="s">
        <v>30</v>
      </c>
      <c r="D26">
        <v>3</v>
      </c>
      <c r="E26" t="s">
        <v>102</v>
      </c>
      <c r="F26" s="1">
        <v>0.108777400311894</v>
      </c>
      <c r="G26" s="1">
        <v>0.0569966472560438</v>
      </c>
      <c r="H26" s="1">
        <v>3069.20888415527</v>
      </c>
      <c r="I26" s="1">
        <v>0.0676105026477814</v>
      </c>
      <c r="J26" s="5">
        <v>-0.00990514510883156</v>
      </c>
      <c r="K26" s="5">
        <v>0.00636088035424809</v>
      </c>
      <c r="L26" s="5">
        <v>-0.0162660254630797</v>
      </c>
      <c r="M26" s="5">
        <v>0.001574424</v>
      </c>
      <c r="N26" s="1">
        <v>0.8</v>
      </c>
      <c r="O26" s="1">
        <v>1</v>
      </c>
      <c r="P26" s="1">
        <v>0.9</v>
      </c>
      <c r="Q26" s="5">
        <v>0.0249291055035971</v>
      </c>
      <c r="R26" s="5">
        <f t="shared" si="0"/>
        <v>-0.000246926407446501</v>
      </c>
      <c r="S26" s="5">
        <f t="shared" si="1"/>
        <v>0.000158571057446809</v>
      </c>
    </row>
    <row r="27" spans="1:19" x14ac:dyDescent="0.25">
      <c r="A27">
        <v>10933</v>
      </c>
      <c r="B27" t="s">
        <v>57</v>
      </c>
      <c r="C27" t="s">
        <v>58</v>
      </c>
      <c r="D27">
        <v>3</v>
      </c>
      <c r="E27" t="s">
        <v>102</v>
      </c>
      <c r="F27" s="1">
        <v>-0.0455114979569848</v>
      </c>
      <c r="G27" s="1">
        <v>0.0327748813777752</v>
      </c>
      <c r="H27" s="1">
        <v>11166.2831778564</v>
      </c>
      <c r="I27" s="1">
        <v>0.192439060398471</v>
      </c>
      <c r="J27" s="5">
        <v>0.233241875235723</v>
      </c>
      <c r="K27" s="5">
        <v>0.249507900698803</v>
      </c>
      <c r="L27" s="5">
        <v>-0.0162660254630797</v>
      </c>
      <c r="M27" s="5">
        <v>0.001574424</v>
      </c>
      <c r="N27" s="1">
        <v>1</v>
      </c>
      <c r="O27" s="1">
        <v>0.6</v>
      </c>
      <c r="P27" s="1">
        <v>0.8</v>
      </c>
      <c r="Q27" s="5">
        <v>0.0906961571957126</v>
      </c>
      <c r="R27" s="5">
        <f t="shared" si="0"/>
        <v>0.0211541417810019</v>
      </c>
      <c r="S27" s="5">
        <f t="shared" si="1"/>
        <v>0.0226294077833509</v>
      </c>
    </row>
    <row r="28" spans="1:19" x14ac:dyDescent="0.25">
      <c r="A28">
        <v>93089</v>
      </c>
      <c r="B28" t="s">
        <v>37</v>
      </c>
      <c r="C28" t="s">
        <v>38</v>
      </c>
      <c r="D28">
        <v>3</v>
      </c>
      <c r="E28" t="s">
        <v>102</v>
      </c>
      <c r="F28" s="1">
        <v>0.0128467111794426</v>
      </c>
      <c r="G28" s="1">
        <v>0.0349726775956284</v>
      </c>
      <c r="H28" s="1">
        <v>12256.7133998566</v>
      </c>
      <c r="I28" s="1">
        <v>0.0946435520895807</v>
      </c>
      <c r="J28" s="5">
        <v>0.0938274594887318</v>
      </c>
      <c r="K28" s="5">
        <v>0.110093484951811</v>
      </c>
      <c r="L28" s="5">
        <v>-0.0162660254630797</v>
      </c>
      <c r="M28" s="5">
        <v>0.001574424</v>
      </c>
      <c r="N28" s="1">
        <v>1</v>
      </c>
      <c r="O28" s="1">
        <v>0.6</v>
      </c>
      <c r="P28" s="1">
        <v>0.8</v>
      </c>
      <c r="Q28" s="5">
        <v>0.099552983522812</v>
      </c>
      <c r="R28" s="5">
        <f t="shared" si="0"/>
        <v>0.00934080352846903</v>
      </c>
      <c r="S28" s="5">
        <f t="shared" si="1"/>
        <v>0.0109601348933766</v>
      </c>
    </row>
    <row r="29" spans="1:19" x14ac:dyDescent="0.25">
      <c r="A29">
        <v>89258</v>
      </c>
      <c r="B29" t="s">
        <v>21</v>
      </c>
      <c r="C29" t="s">
        <v>22</v>
      </c>
      <c r="D29">
        <v>3</v>
      </c>
      <c r="E29" t="s">
        <v>102</v>
      </c>
      <c r="F29" s="1">
        <v>0.0143117148339107</v>
      </c>
      <c r="G29" s="1">
        <v>0.0357063895644484</v>
      </c>
      <c r="H29" s="1">
        <v>39646.5584793091</v>
      </c>
      <c r="I29" s="1">
        <v>0.306470687616151</v>
      </c>
      <c r="J29" s="5">
        <v>-0.0304259394239243</v>
      </c>
      <c r="K29" s="5">
        <v>-0.0141599139608447</v>
      </c>
      <c r="L29" s="5">
        <v>-0.0162660254630797</v>
      </c>
      <c r="M29" s="5">
        <v>0.001574424</v>
      </c>
      <c r="N29" s="1">
        <v>1</v>
      </c>
      <c r="O29" s="1">
        <v>0.6</v>
      </c>
      <c r="P29" s="1">
        <v>0.8</v>
      </c>
      <c r="Q29" s="5">
        <v>0.322022148537228</v>
      </c>
      <c r="R29" s="5">
        <f t="shared" si="0"/>
        <v>-0.00979782638455566</v>
      </c>
      <c r="S29" s="5">
        <f t="shared" si="1"/>
        <v>-0.00455980591677351</v>
      </c>
    </row>
    <row r="30" spans="1:19" x14ac:dyDescent="0.25">
      <c r="A30">
        <v>63467</v>
      </c>
      <c r="B30" t="s">
        <v>43</v>
      </c>
      <c r="C30" t="s">
        <v>44</v>
      </c>
      <c r="D30">
        <v>3</v>
      </c>
      <c r="E30" t="s">
        <v>102</v>
      </c>
      <c r="F30" s="1">
        <v>-0.0418472761440871</v>
      </c>
      <c r="G30" s="1">
        <v>0.043451838347007</v>
      </c>
      <c r="H30" s="1">
        <v>4628.19964596558</v>
      </c>
      <c r="I30" s="1">
        <v>0.15588665269545</v>
      </c>
      <c r="J30" s="5">
        <v>0.129417591968636</v>
      </c>
      <c r="K30" s="5">
        <v>0.145683617431715</v>
      </c>
      <c r="L30" s="5">
        <v>-0.0162660254630797</v>
      </c>
      <c r="M30" s="5">
        <v>0.001574424</v>
      </c>
      <c r="N30" s="1">
        <v>1</v>
      </c>
      <c r="O30" s="1">
        <v>0.6</v>
      </c>
      <c r="P30" s="1">
        <v>0.8</v>
      </c>
      <c r="Q30" s="5">
        <v>0.0375917318178041</v>
      </c>
      <c r="R30" s="5">
        <f t="shared" si="0"/>
        <v>0.00486503140979097</v>
      </c>
      <c r="S30" s="5">
        <f t="shared" si="1"/>
        <v>0.00547649947674061</v>
      </c>
    </row>
    <row r="31" spans="1:19" x14ac:dyDescent="0.25">
      <c r="A31">
        <v>23473</v>
      </c>
      <c r="B31" t="s">
        <v>23</v>
      </c>
      <c r="C31" t="s">
        <v>24</v>
      </c>
      <c r="D31">
        <v>3</v>
      </c>
      <c r="E31" t="s">
        <v>102</v>
      </c>
      <c r="F31" s="1">
        <v>0.0872647339612046</v>
      </c>
      <c r="G31" s="1">
        <v>0.0619332432953888</v>
      </c>
      <c r="H31" s="1">
        <v>8229.52005004883</v>
      </c>
      <c r="I31" s="1">
        <v>0.0913705583756345</v>
      </c>
      <c r="J31" s="5">
        <v>0.422453785100484</v>
      </c>
      <c r="K31" s="5">
        <v>0.438719810563564</v>
      </c>
      <c r="L31" s="5">
        <v>-0.0162660254630797</v>
      </c>
      <c r="M31" s="5">
        <v>0.001574424</v>
      </c>
      <c r="N31" s="1">
        <v>0.8</v>
      </c>
      <c r="O31" s="1">
        <v>0.8</v>
      </c>
      <c r="P31" s="1">
        <v>0.8</v>
      </c>
      <c r="Q31" s="5">
        <v>0.0668428188875451</v>
      </c>
      <c r="R31" s="5">
        <f t="shared" si="0"/>
        <v>0.0282380018458296</v>
      </c>
      <c r="S31" s="5">
        <f t="shared" si="1"/>
        <v>0.0293252688398784</v>
      </c>
    </row>
    <row r="32" spans="1:19" x14ac:dyDescent="0.25">
      <c r="A32">
        <v>90038</v>
      </c>
      <c r="B32" t="s">
        <v>73</v>
      </c>
      <c r="C32" t="s">
        <v>74</v>
      </c>
      <c r="D32">
        <v>4</v>
      </c>
      <c r="E32" t="s">
        <v>115</v>
      </c>
      <c r="F32" s="1">
        <v>0.108219387697003</v>
      </c>
      <c r="G32" s="1">
        <v>0.0258256766823938</v>
      </c>
      <c r="H32" s="1">
        <v>5345.78231878662</v>
      </c>
      <c r="I32" s="1">
        <v>-0.00702508550420638</v>
      </c>
      <c r="J32" s="5">
        <v>0.146603613525155</v>
      </c>
      <c r="K32" s="5">
        <v>-0.0248867124706016</v>
      </c>
      <c r="L32" s="5">
        <v>0.171490325995757</v>
      </c>
      <c r="M32" s="5">
        <v>0.007678278</v>
      </c>
      <c r="N32" s="1">
        <v>1</v>
      </c>
      <c r="O32" s="1">
        <v>1</v>
      </c>
      <c r="P32" s="1">
        <v>1</v>
      </c>
      <c r="Q32" s="5">
        <v>0.0426250679926583</v>
      </c>
      <c r="R32" s="5">
        <f t="shared" si="0"/>
        <v>0.00624898899447913</v>
      </c>
      <c r="S32" s="5">
        <f t="shared" si="1"/>
        <v>-0.00106079781117313</v>
      </c>
    </row>
    <row r="33" spans="1:19" x14ac:dyDescent="0.25">
      <c r="A33">
        <v>52936</v>
      </c>
      <c r="B33" t="s">
        <v>29</v>
      </c>
      <c r="C33" t="s">
        <v>30</v>
      </c>
      <c r="D33">
        <v>4</v>
      </c>
      <c r="E33" t="s">
        <v>115</v>
      </c>
      <c r="F33" s="1">
        <v>0.0962626946683707</v>
      </c>
      <c r="G33" s="1">
        <v>0.0289886192828001</v>
      </c>
      <c r="H33" s="1">
        <v>2937.30263156891</v>
      </c>
      <c r="I33" s="1">
        <v>-0.000821111019987216</v>
      </c>
      <c r="J33" s="5">
        <v>0.112358175693281</v>
      </c>
      <c r="K33" s="5">
        <v>-0.059132150302476</v>
      </c>
      <c r="L33" s="5">
        <v>0.171490325995757</v>
      </c>
      <c r="M33" s="5">
        <v>0.007678278</v>
      </c>
      <c r="N33" s="1">
        <v>1</v>
      </c>
      <c r="O33" s="1">
        <v>1</v>
      </c>
      <c r="P33" s="1">
        <v>1</v>
      </c>
      <c r="Q33" s="5">
        <v>0.0234208422489708</v>
      </c>
      <c r="R33" s="5">
        <f t="shared" si="0"/>
        <v>0.00263152310829448</v>
      </c>
      <c r="S33" s="5">
        <f t="shared" si="1"/>
        <v>-0.00138492476407672</v>
      </c>
    </row>
    <row r="34" spans="1:19" x14ac:dyDescent="0.25">
      <c r="A34">
        <v>90272</v>
      </c>
      <c r="B34" t="s">
        <v>55</v>
      </c>
      <c r="C34" t="s">
        <v>56</v>
      </c>
      <c r="D34">
        <v>4</v>
      </c>
      <c r="E34" t="s">
        <v>115</v>
      </c>
      <c r="F34" s="1">
        <v>0.123427680998004</v>
      </c>
      <c r="G34" s="1">
        <v>0.0343945786983762</v>
      </c>
      <c r="H34" s="1">
        <v>4747.35450598145</v>
      </c>
      <c r="I34" s="1">
        <v>0.0717829612882816</v>
      </c>
      <c r="J34" s="5">
        <v>0.693946031642714</v>
      </c>
      <c r="K34" s="5">
        <v>0.522455705646957</v>
      </c>
      <c r="L34" s="5">
        <v>0.171490325995757</v>
      </c>
      <c r="M34" s="5">
        <v>0.007678278</v>
      </c>
      <c r="N34" s="1">
        <v>1</v>
      </c>
      <c r="O34" s="1">
        <v>1</v>
      </c>
      <c r="P34" s="1">
        <v>1</v>
      </c>
      <c r="Q34" s="5">
        <v>0.0378534509142981</v>
      </c>
      <c r="R34" s="5">
        <f t="shared" si="0"/>
        <v>0.0262682520459594</v>
      </c>
      <c r="S34" s="5">
        <f t="shared" si="1"/>
        <v>0.0197767514086021</v>
      </c>
    </row>
    <row r="35" spans="1:19" x14ac:dyDescent="0.25">
      <c r="A35">
        <v>93089</v>
      </c>
      <c r="B35" t="s">
        <v>37</v>
      </c>
      <c r="C35" t="s">
        <v>38</v>
      </c>
      <c r="D35">
        <v>4</v>
      </c>
      <c r="E35" t="s">
        <v>115</v>
      </c>
      <c r="F35" s="1">
        <v>0.10891659617468</v>
      </c>
      <c r="G35" s="1">
        <v>0.0399323621227888</v>
      </c>
      <c r="H35" s="1">
        <v>13679.7368289337</v>
      </c>
      <c r="I35" s="1">
        <v>0.183934973201292</v>
      </c>
      <c r="J35" s="5">
        <v>0.0188940690055008</v>
      </c>
      <c r="K35" s="5">
        <v>-0.152596256990256</v>
      </c>
      <c r="L35" s="5">
        <v>0.171490325995757</v>
      </c>
      <c r="M35" s="5">
        <v>0.007678278</v>
      </c>
      <c r="N35" s="1">
        <v>1</v>
      </c>
      <c r="O35" s="1">
        <v>1</v>
      </c>
      <c r="P35" s="1">
        <v>1</v>
      </c>
      <c r="Q35" s="5">
        <v>0.109076591167169</v>
      </c>
      <c r="R35" s="5">
        <f t="shared" si="0"/>
        <v>0.0020609006403973</v>
      </c>
      <c r="S35" s="5">
        <f t="shared" si="1"/>
        <v>-0.0166446795373665</v>
      </c>
    </row>
    <row r="36" spans="1:19" x14ac:dyDescent="0.25">
      <c r="A36">
        <v>78156</v>
      </c>
      <c r="B36" t="s">
        <v>116</v>
      </c>
      <c r="C36" t="s">
        <v>117</v>
      </c>
      <c r="D36">
        <v>4</v>
      </c>
      <c r="E36" t="s">
        <v>115</v>
      </c>
      <c r="F36" s="1">
        <v>0.0700359431606682</v>
      </c>
      <c r="G36" s="1">
        <v>0.0226904376012966</v>
      </c>
      <c r="H36" s="1">
        <v>1486.95323153687</v>
      </c>
      <c r="I36" s="1">
        <v>0.0699215973828191</v>
      </c>
      <c r="J36" s="5">
        <v>0.102571849893609</v>
      </c>
      <c r="K36" s="5">
        <v>-0.0689184761021473</v>
      </c>
      <c r="L36" s="5">
        <v>0.171490325995757</v>
      </c>
      <c r="M36" s="5">
        <v>0.007678278</v>
      </c>
      <c r="N36" s="1">
        <v>1</v>
      </c>
      <c r="O36" s="1">
        <v>0.8</v>
      </c>
      <c r="P36" s="1">
        <v>0.9</v>
      </c>
      <c r="Q36" s="5">
        <v>0.0118563530679918</v>
      </c>
      <c r="R36" s="5">
        <f t="shared" si="0"/>
        <v>0.00121612806717568</v>
      </c>
      <c r="S36" s="5">
        <f t="shared" si="1"/>
        <v>-0.000817121785575013</v>
      </c>
    </row>
    <row r="37" spans="1:19" x14ac:dyDescent="0.25">
      <c r="A37">
        <v>66800</v>
      </c>
      <c r="B37" t="s">
        <v>87</v>
      </c>
      <c r="C37" t="s">
        <v>88</v>
      </c>
      <c r="D37">
        <v>4</v>
      </c>
      <c r="E37" t="s">
        <v>115</v>
      </c>
      <c r="F37" s="1">
        <v>0.0407072862857774</v>
      </c>
      <c r="G37" s="1">
        <v>0.0272712602872358</v>
      </c>
      <c r="H37" s="1">
        <v>59185.6017969971</v>
      </c>
      <c r="I37" s="1">
        <v>-0.0823281061519903</v>
      </c>
      <c r="J37" s="5">
        <v>0.123134884636971</v>
      </c>
      <c r="K37" s="5">
        <v>-0.0483554413587861</v>
      </c>
      <c r="L37" s="5">
        <v>0.171490325995757</v>
      </c>
      <c r="M37" s="5">
        <v>0.007678278</v>
      </c>
      <c r="N37" s="1">
        <v>1</v>
      </c>
      <c r="O37" s="1">
        <v>0.8</v>
      </c>
      <c r="P37" s="1">
        <v>0.9</v>
      </c>
      <c r="Q37" s="5">
        <v>0.471921629116395</v>
      </c>
      <c r="R37" s="5">
        <f t="shared" si="0"/>
        <v>0.0581100153589387</v>
      </c>
      <c r="S37" s="5">
        <f t="shared" si="1"/>
        <v>-0.0228199786626806</v>
      </c>
    </row>
    <row r="38" spans="1:19" x14ac:dyDescent="0.25">
      <c r="A38">
        <v>82486</v>
      </c>
      <c r="B38" t="s">
        <v>47</v>
      </c>
      <c r="C38" t="s">
        <v>48</v>
      </c>
      <c r="D38">
        <v>4</v>
      </c>
      <c r="E38" t="s">
        <v>115</v>
      </c>
      <c r="F38" s="1">
        <v>0.0487416374332967</v>
      </c>
      <c r="G38" s="1">
        <v>0.034922626516102</v>
      </c>
      <c r="H38" s="1">
        <v>4588.41509085083</v>
      </c>
      <c r="I38" s="1">
        <v>-0.749541174513392</v>
      </c>
      <c r="J38" s="5">
        <v>0.236879156673127</v>
      </c>
      <c r="K38" s="5">
        <v>0.0653888306773704</v>
      </c>
      <c r="L38" s="5">
        <v>0.171490325995757</v>
      </c>
      <c r="M38" s="5">
        <v>0.007678278</v>
      </c>
      <c r="N38" s="1">
        <v>1</v>
      </c>
      <c r="O38" s="1">
        <v>0.8</v>
      </c>
      <c r="P38" s="1">
        <v>0.9</v>
      </c>
      <c r="Q38" s="5">
        <v>0.0365861334343387</v>
      </c>
      <c r="R38" s="5">
        <f t="shared" si="0"/>
        <v>0.00866649243385665</v>
      </c>
      <c r="S38" s="5">
        <f t="shared" si="1"/>
        <v>0.00239232448427765</v>
      </c>
    </row>
    <row r="39" spans="1:19" x14ac:dyDescent="0.25">
      <c r="A39">
        <v>48653</v>
      </c>
      <c r="B39" t="s">
        <v>39</v>
      </c>
      <c r="C39" t="s">
        <v>40</v>
      </c>
      <c r="D39">
        <v>4</v>
      </c>
      <c r="E39" t="s">
        <v>115</v>
      </c>
      <c r="F39" s="1">
        <v>0.439207412400269</v>
      </c>
      <c r="G39" s="1">
        <v>0.0478404571172483</v>
      </c>
      <c r="H39" s="1">
        <v>26808.7762877197</v>
      </c>
      <c r="I39" s="1">
        <v>0.119360824742268</v>
      </c>
      <c r="J39" s="5">
        <v>0.355405681108128</v>
      </c>
      <c r="K39" s="5">
        <v>0.183915355112372</v>
      </c>
      <c r="L39" s="5">
        <v>0.171490325995757</v>
      </c>
      <c r="M39" s="5">
        <v>0.007678278</v>
      </c>
      <c r="N39" s="1">
        <v>0.8</v>
      </c>
      <c r="O39" s="1">
        <v>1</v>
      </c>
      <c r="P39" s="1">
        <v>0.9</v>
      </c>
      <c r="Q39" s="5">
        <v>0.213762148160831</v>
      </c>
      <c r="R39" s="5">
        <f t="shared" si="0"/>
        <v>0.0759722818622368</v>
      </c>
      <c r="S39" s="5">
        <f t="shared" si="1"/>
        <v>0.0393141413885827</v>
      </c>
    </row>
    <row r="40" spans="1:19" x14ac:dyDescent="0.25">
      <c r="A40">
        <v>76136</v>
      </c>
      <c r="B40" t="s">
        <v>59</v>
      </c>
      <c r="C40" t="s">
        <v>60</v>
      </c>
      <c r="D40">
        <v>4</v>
      </c>
      <c r="E40" t="s">
        <v>115</v>
      </c>
      <c r="F40" s="1">
        <v>-0.0203321227470856</v>
      </c>
      <c r="G40" s="1">
        <v>0.0416107382550336</v>
      </c>
      <c r="H40" s="1">
        <v>1584.10031659317</v>
      </c>
      <c r="I40" s="1">
        <v>0.0613457670506492</v>
      </c>
      <c r="J40" s="5">
        <v>0.209600099662249</v>
      </c>
      <c r="K40" s="5">
        <v>0.0381097736664919</v>
      </c>
      <c r="L40" s="5">
        <v>0.171490325995757</v>
      </c>
      <c r="M40" s="5">
        <v>0.007678278</v>
      </c>
      <c r="N40" s="1">
        <v>1</v>
      </c>
      <c r="O40" s="1">
        <v>0.6</v>
      </c>
      <c r="P40" s="1">
        <v>0.8</v>
      </c>
      <c r="Q40" s="5">
        <v>0.0126309639404288</v>
      </c>
      <c r="R40" s="5">
        <f t="shared" si="0"/>
        <v>0.00264745130074414</v>
      </c>
      <c r="S40" s="5">
        <f t="shared" si="1"/>
        <v>0.00048136317695936</v>
      </c>
    </row>
    <row r="41" spans="1:19" x14ac:dyDescent="0.25">
      <c r="A41">
        <v>13904</v>
      </c>
      <c r="B41" t="s">
        <v>111</v>
      </c>
      <c r="C41" t="s">
        <v>112</v>
      </c>
      <c r="D41">
        <v>4</v>
      </c>
      <c r="E41" t="s">
        <v>115</v>
      </c>
      <c r="F41" s="1">
        <v>0.0574082211761584</v>
      </c>
      <c r="G41" s="1">
        <v>0.0490382010295313</v>
      </c>
      <c r="H41" s="1">
        <v>5050.02488668251</v>
      </c>
      <c r="I41" s="1">
        <v>0.0247856219898979</v>
      </c>
      <c r="J41" s="5">
        <v>0.0413508611404603</v>
      </c>
      <c r="K41" s="5">
        <v>-0.130139464855297</v>
      </c>
      <c r="L41" s="5">
        <v>0.171490325995757</v>
      </c>
      <c r="M41" s="5">
        <v>0.007678278</v>
      </c>
      <c r="N41" s="1">
        <v>0.8</v>
      </c>
      <c r="O41" s="1">
        <v>0.8</v>
      </c>
      <c r="P41" s="1">
        <v>0.8</v>
      </c>
      <c r="Q41" s="5">
        <v>0.0402668199569184</v>
      </c>
      <c r="R41" s="5">
        <f t="shared" si="0"/>
        <v>0.00166506768060645</v>
      </c>
      <c r="S41" s="5">
        <f t="shared" si="1"/>
        <v>-0.00524030240061795</v>
      </c>
    </row>
    <row r="42" spans="1:19" x14ac:dyDescent="0.25">
      <c r="A42">
        <v>76722</v>
      </c>
      <c r="B42" t="s">
        <v>143</v>
      </c>
      <c r="C42" t="s">
        <v>144</v>
      </c>
      <c r="D42">
        <v>5</v>
      </c>
      <c r="E42" t="s">
        <v>142</v>
      </c>
      <c r="F42" s="1">
        <v>0.0800792580208402</v>
      </c>
      <c r="G42" s="1">
        <v>0.0186497575531518</v>
      </c>
      <c r="H42" s="1">
        <v>1083.23298072815</v>
      </c>
      <c r="I42" s="1">
        <v>0.0268887914657315</v>
      </c>
      <c r="J42" s="5">
        <v>0.266147044041656</v>
      </c>
      <c r="K42" s="5">
        <v>0.123178509611112</v>
      </c>
      <c r="L42" s="5">
        <v>0.142968534430544</v>
      </c>
      <c r="M42" s="5">
        <v>0.005759364</v>
      </c>
      <c r="N42" s="1">
        <v>1</v>
      </c>
      <c r="O42" s="1">
        <v>1</v>
      </c>
      <c r="P42" s="1">
        <v>1</v>
      </c>
      <c r="Q42" s="5">
        <v>0.0107553387888062</v>
      </c>
      <c r="R42" s="5">
        <f t="shared" si="0"/>
        <v>0.00286250162630733</v>
      </c>
      <c r="S42" s="5">
        <f t="shared" si="1"/>
        <v>0.00132482660236773</v>
      </c>
    </row>
    <row r="43" spans="1:19" x14ac:dyDescent="0.25">
      <c r="A43">
        <v>48653</v>
      </c>
      <c r="B43" t="s">
        <v>39</v>
      </c>
      <c r="C43" t="s">
        <v>40</v>
      </c>
      <c r="D43">
        <v>5</v>
      </c>
      <c r="E43" t="s">
        <v>142</v>
      </c>
      <c r="F43" s="1">
        <v>0.413878748540834</v>
      </c>
      <c r="G43" s="1">
        <v>0.0201440964564035</v>
      </c>
      <c r="H43" s="1">
        <v>34725.0745953369</v>
      </c>
      <c r="I43" s="1">
        <v>0.0118440199672125</v>
      </c>
      <c r="J43" s="5">
        <v>0.261331577327627</v>
      </c>
      <c r="K43" s="5">
        <v>0.118363042897083</v>
      </c>
      <c r="L43" s="5">
        <v>0.142968534430544</v>
      </c>
      <c r="M43" s="5">
        <v>0.005759364</v>
      </c>
      <c r="N43" s="1">
        <v>1</v>
      </c>
      <c r="O43" s="1">
        <v>1</v>
      </c>
      <c r="P43" s="1">
        <v>1</v>
      </c>
      <c r="Q43" s="5">
        <v>0.344782653763332</v>
      </c>
      <c r="R43" s="5">
        <f t="shared" si="0"/>
        <v>0.0901025947431765</v>
      </c>
      <c r="S43" s="5">
        <f t="shared" si="1"/>
        <v>0.0408095240375593</v>
      </c>
    </row>
    <row r="44" spans="1:19" x14ac:dyDescent="0.25">
      <c r="A44">
        <v>93089</v>
      </c>
      <c r="B44" t="s">
        <v>37</v>
      </c>
      <c r="C44" t="s">
        <v>38</v>
      </c>
      <c r="D44">
        <v>5</v>
      </c>
      <c r="E44" t="s">
        <v>142</v>
      </c>
      <c r="F44" s="1">
        <v>0.0953497358576968</v>
      </c>
      <c r="G44" s="1">
        <v>0.0330171245534064</v>
      </c>
      <c r="H44" s="1">
        <v>13880.6372218704</v>
      </c>
      <c r="I44" s="1">
        <v>-0.0352077601172142</v>
      </c>
      <c r="J44" s="5">
        <v>0.313388531343174</v>
      </c>
      <c r="K44" s="5">
        <v>0.17041999691263</v>
      </c>
      <c r="L44" s="5">
        <v>0.142968534430544</v>
      </c>
      <c r="M44" s="5">
        <v>0.005759364</v>
      </c>
      <c r="N44" s="1">
        <v>1</v>
      </c>
      <c r="O44" s="1">
        <v>1</v>
      </c>
      <c r="P44" s="1">
        <v>1</v>
      </c>
      <c r="Q44" s="5">
        <v>0.137819802924922</v>
      </c>
      <c r="R44" s="5">
        <f t="shared" si="0"/>
        <v>0.0431911456286471</v>
      </c>
      <c r="S44" s="5">
        <f t="shared" si="1"/>
        <v>0.0234872503889645</v>
      </c>
    </row>
    <row r="45" spans="1:19" x14ac:dyDescent="0.25">
      <c r="A45">
        <v>52936</v>
      </c>
      <c r="B45" t="s">
        <v>29</v>
      </c>
      <c r="C45" t="s">
        <v>30</v>
      </c>
      <c r="D45">
        <v>5</v>
      </c>
      <c r="E45" t="s">
        <v>142</v>
      </c>
      <c r="F45" s="1">
        <v>0.0732484227059851</v>
      </c>
      <c r="G45" s="1">
        <v>0.0219232685600399</v>
      </c>
      <c r="H45" s="1">
        <v>2986.794</v>
      </c>
      <c r="I45" s="1">
        <v>0.0725693682916292</v>
      </c>
      <c r="J45" s="5">
        <v>-0.117787790180048</v>
      </c>
      <c r="K45" s="5">
        <v>-0.260756324610592</v>
      </c>
      <c r="L45" s="5">
        <v>0.142968534430544</v>
      </c>
      <c r="M45" s="5">
        <v>0.005759364</v>
      </c>
      <c r="N45" s="1">
        <v>1</v>
      </c>
      <c r="O45" s="1">
        <v>0.8</v>
      </c>
      <c r="P45" s="1">
        <v>0.9</v>
      </c>
      <c r="Q45" s="5">
        <v>0.0296556529702224</v>
      </c>
      <c r="R45" s="5">
        <f t="shared" si="0"/>
        <v>-0.00349307382970887</v>
      </c>
      <c r="S45" s="5">
        <f t="shared" si="1"/>
        <v>-0.00773289907244237</v>
      </c>
    </row>
    <row r="46" spans="1:19" x14ac:dyDescent="0.25">
      <c r="A46">
        <v>78156</v>
      </c>
      <c r="B46" t="s">
        <v>116</v>
      </c>
      <c r="C46" t="s">
        <v>117</v>
      </c>
      <c r="D46">
        <v>5</v>
      </c>
      <c r="E46" t="s">
        <v>142</v>
      </c>
      <c r="F46" s="1">
        <v>0.0706811590400511</v>
      </c>
      <c r="G46" s="1">
        <v>0.0247797356828194</v>
      </c>
      <c r="H46" s="1">
        <v>1554.8325</v>
      </c>
      <c r="I46" s="1">
        <v>0.0459579600856993</v>
      </c>
      <c r="J46" s="5">
        <v>0.187156955309004</v>
      </c>
      <c r="K46" s="5">
        <v>0.0441884208784598</v>
      </c>
      <c r="L46" s="5">
        <v>0.142968534430544</v>
      </c>
      <c r="M46" s="5">
        <v>0.005759364</v>
      </c>
      <c r="N46" s="1">
        <v>1</v>
      </c>
      <c r="O46" s="1">
        <v>0.8</v>
      </c>
      <c r="P46" s="1">
        <v>0.9</v>
      </c>
      <c r="Q46" s="5">
        <v>0.0154378149436564</v>
      </c>
      <c r="R46" s="5">
        <f t="shared" si="0"/>
        <v>0.00288929444147858</v>
      </c>
      <c r="S46" s="5">
        <f t="shared" si="1"/>
        <v>0.000682172664174065</v>
      </c>
    </row>
    <row r="47" spans="1:19" x14ac:dyDescent="0.25">
      <c r="A47">
        <v>82486</v>
      </c>
      <c r="B47" t="s">
        <v>47</v>
      </c>
      <c r="C47" t="s">
        <v>48</v>
      </c>
      <c r="D47">
        <v>5</v>
      </c>
      <c r="E47" t="s">
        <v>142</v>
      </c>
      <c r="F47" s="1">
        <v>0.0785131005957487</v>
      </c>
      <c r="G47" s="1">
        <v>0.0357492218763895</v>
      </c>
      <c r="H47" s="1">
        <v>5776.85821590424</v>
      </c>
      <c r="I47" s="1">
        <v>0.0605264136756497</v>
      </c>
      <c r="J47" s="5">
        <v>-0.0143598669982409</v>
      </c>
      <c r="K47" s="5">
        <v>-0.157328401428785</v>
      </c>
      <c r="L47" s="5">
        <v>0.142968534430544</v>
      </c>
      <c r="M47" s="5">
        <v>0.005759364</v>
      </c>
      <c r="N47" s="1">
        <v>1</v>
      </c>
      <c r="O47" s="1">
        <v>0.8</v>
      </c>
      <c r="P47" s="1">
        <v>0.9</v>
      </c>
      <c r="Q47" s="5">
        <v>0.0573579907114565</v>
      </c>
      <c r="R47" s="5">
        <f t="shared" si="0"/>
        <v>-0.000823653117902853</v>
      </c>
      <c r="S47" s="5">
        <f t="shared" si="1"/>
        <v>-0.00902404098780056</v>
      </c>
    </row>
    <row r="48" spans="1:19" x14ac:dyDescent="0.25">
      <c r="A48">
        <v>90272</v>
      </c>
      <c r="B48" t="s">
        <v>55</v>
      </c>
      <c r="C48" t="s">
        <v>56</v>
      </c>
      <c r="D48">
        <v>5</v>
      </c>
      <c r="E48" t="s">
        <v>142</v>
      </c>
      <c r="F48" s="1">
        <v>0.168051540118926</v>
      </c>
      <c r="G48" s="1">
        <v>0.0399037058651882</v>
      </c>
      <c r="H48" s="1">
        <v>7989.16297137451</v>
      </c>
      <c r="I48" s="1">
        <v>0.0249744424126362</v>
      </c>
      <c r="J48" s="5">
        <v>0.290279368620588</v>
      </c>
      <c r="K48" s="5">
        <v>0.147310834190044</v>
      </c>
      <c r="L48" s="5">
        <v>0.142968534430544</v>
      </c>
      <c r="M48" s="5">
        <v>0.005759364</v>
      </c>
      <c r="N48" s="1">
        <v>0.8</v>
      </c>
      <c r="O48" s="1">
        <v>1</v>
      </c>
      <c r="P48" s="1">
        <v>0.9</v>
      </c>
      <c r="Q48" s="5">
        <v>0.0793237982270063</v>
      </c>
      <c r="R48" s="5">
        <f t="shared" si="0"/>
        <v>0.0230260620659223</v>
      </c>
      <c r="S48" s="5">
        <f t="shared" si="1"/>
        <v>0.011685254887943</v>
      </c>
    </row>
    <row r="49" spans="1:19" x14ac:dyDescent="0.25">
      <c r="A49">
        <v>23473</v>
      </c>
      <c r="B49" t="s">
        <v>23</v>
      </c>
      <c r="C49" t="s">
        <v>24</v>
      </c>
      <c r="D49">
        <v>5</v>
      </c>
      <c r="E49" t="s">
        <v>142</v>
      </c>
      <c r="F49" s="1">
        <v>0.0795663406668136</v>
      </c>
      <c r="G49" s="1">
        <v>0.0473927392739274</v>
      </c>
      <c r="H49" s="1">
        <v>11874.5544998169</v>
      </c>
      <c r="I49" s="1">
        <v>0.0597043951769739</v>
      </c>
      <c r="J49" s="5">
        <v>0.0239122392597435</v>
      </c>
      <c r="K49" s="5">
        <v>-0.119056295170801</v>
      </c>
      <c r="L49" s="5">
        <v>0.142968534430544</v>
      </c>
      <c r="M49" s="5">
        <v>0.005759364</v>
      </c>
      <c r="N49" s="1">
        <v>0.8</v>
      </c>
      <c r="O49" s="1">
        <v>1</v>
      </c>
      <c r="P49" s="1">
        <v>0.9</v>
      </c>
      <c r="Q49" s="5">
        <v>0.117901558467897</v>
      </c>
      <c r="R49" s="5">
        <f t="shared" si="0"/>
        <v>0.00281929027518098</v>
      </c>
      <c r="S49" s="5">
        <f t="shared" si="1"/>
        <v>-0.0140369227460513</v>
      </c>
    </row>
    <row r="50" spans="1:19" x14ac:dyDescent="0.25">
      <c r="A50">
        <v>77120</v>
      </c>
      <c r="B50" t="s">
        <v>124</v>
      </c>
      <c r="C50" t="s">
        <v>125</v>
      </c>
      <c r="D50">
        <v>5</v>
      </c>
      <c r="E50" t="s">
        <v>142</v>
      </c>
      <c r="F50" s="1">
        <v>0.0993119752746727</v>
      </c>
      <c r="G50" s="1">
        <v>0.0476635514018692</v>
      </c>
      <c r="H50" s="1">
        <v>1532.52536906815</v>
      </c>
      <c r="I50" s="1">
        <v>0.0341569120526972</v>
      </c>
      <c r="J50" s="5">
        <v>0.187268520119391</v>
      </c>
      <c r="K50" s="5">
        <v>0.0442999856888475</v>
      </c>
      <c r="L50" s="5">
        <v>0.142968534430544</v>
      </c>
      <c r="M50" s="5">
        <v>0.005759364</v>
      </c>
      <c r="N50" s="1">
        <v>0.8</v>
      </c>
      <c r="O50" s="1">
        <v>1</v>
      </c>
      <c r="P50" s="1">
        <v>0.9</v>
      </c>
      <c r="Q50" s="5">
        <v>0.0152163291184953</v>
      </c>
      <c r="R50" s="5">
        <f t="shared" si="0"/>
        <v>0.00284953943567021</v>
      </c>
      <c r="S50" s="5">
        <f t="shared" si="1"/>
        <v>0.000674083162186135</v>
      </c>
    </row>
    <row r="51" spans="1:19" x14ac:dyDescent="0.25">
      <c r="A51">
        <v>82775</v>
      </c>
      <c r="B51" t="s">
        <v>97</v>
      </c>
      <c r="C51" t="s">
        <v>98</v>
      </c>
      <c r="D51">
        <v>5</v>
      </c>
      <c r="E51" t="s">
        <v>142</v>
      </c>
      <c r="F51" s="1">
        <v>0.0842413608097244</v>
      </c>
      <c r="G51" s="1">
        <v>0.0484784889821616</v>
      </c>
      <c r="H51" s="1">
        <v>19312.1676578903</v>
      </c>
      <c r="I51" s="1">
        <v>0.00104683195592286</v>
      </c>
      <c r="J51" s="5">
        <v>0.0789801446013523</v>
      </c>
      <c r="K51" s="5">
        <v>-0.0639883898291917</v>
      </c>
      <c r="L51" s="5">
        <v>0.142968534430544</v>
      </c>
      <c r="M51" s="5">
        <v>0.005759364</v>
      </c>
      <c r="N51" s="1">
        <v>0.8</v>
      </c>
      <c r="O51" s="1">
        <v>1</v>
      </c>
      <c r="P51" s="1">
        <v>0.9</v>
      </c>
      <c r="Q51" s="5">
        <v>0.191749060084206</v>
      </c>
      <c r="R51" s="5">
        <f t="shared" si="0"/>
        <v>0.015144368492624</v>
      </c>
      <c r="S51" s="5">
        <f t="shared" si="1"/>
        <v>-0.0122697136060493</v>
      </c>
    </row>
    <row r="52" spans="1:19" x14ac:dyDescent="0.25">
      <c r="A52">
        <v>14318</v>
      </c>
      <c r="B52" t="s">
        <v>161</v>
      </c>
      <c r="C52" t="s">
        <v>162</v>
      </c>
      <c r="D52">
        <v>6</v>
      </c>
      <c r="E52" t="s">
        <v>179</v>
      </c>
      <c r="F52" s="1">
        <v>0.152725520324135</v>
      </c>
      <c r="G52" s="1">
        <v>0.0217647058823529</v>
      </c>
      <c r="H52" s="1">
        <v>1071.79014983368</v>
      </c>
      <c r="I52" s="1">
        <v>0.475935872067197</v>
      </c>
      <c r="J52" s="5">
        <v>0.637237275203437</v>
      </c>
      <c r="K52" s="5">
        <v>0.620007227683023</v>
      </c>
      <c r="L52" s="5">
        <v>0.0172300475204143</v>
      </c>
      <c r="M52" s="5">
        <v>0.01913358</v>
      </c>
      <c r="N52" s="1">
        <v>1</v>
      </c>
      <c r="O52" s="1">
        <v>1</v>
      </c>
      <c r="P52" s="1">
        <v>1</v>
      </c>
      <c r="Q52" s="5">
        <v>0.0169551812359888</v>
      </c>
      <c r="R52" s="5">
        <f t="shared" si="0"/>
        <v>0.010804473491402</v>
      </c>
      <c r="S52" s="5">
        <f t="shared" si="1"/>
        <v>0.0105123349129886</v>
      </c>
    </row>
    <row r="53" spans="1:19" x14ac:dyDescent="0.25">
      <c r="A53">
        <v>82486</v>
      </c>
      <c r="B53" t="s">
        <v>47</v>
      </c>
      <c r="C53" t="s">
        <v>48</v>
      </c>
      <c r="D53">
        <v>6</v>
      </c>
      <c r="E53" t="s">
        <v>179</v>
      </c>
      <c r="F53" s="1">
        <v>0.0935465211579292</v>
      </c>
      <c r="G53" s="1">
        <v>0.0309422193040053</v>
      </c>
      <c r="H53" s="1">
        <v>5416.12223867035</v>
      </c>
      <c r="I53" s="1">
        <v>0.0595898488755384</v>
      </c>
      <c r="J53" s="5">
        <v>0.927708375721122</v>
      </c>
      <c r="K53" s="5">
        <v>0.910478328200707</v>
      </c>
      <c r="L53" s="5">
        <v>0.0172300475204143</v>
      </c>
      <c r="M53" s="5">
        <v>0.01913358</v>
      </c>
      <c r="N53" s="1">
        <v>1</v>
      </c>
      <c r="O53" s="1">
        <v>1</v>
      </c>
      <c r="P53" s="1">
        <v>1</v>
      </c>
      <c r="Q53" s="5">
        <v>0.0856803303959974</v>
      </c>
      <c r="R53" s="5">
        <f t="shared" si="0"/>
        <v>0.0794863601429199</v>
      </c>
      <c r="S53" s="5">
        <f t="shared" si="1"/>
        <v>0.078010083978632</v>
      </c>
    </row>
    <row r="54" spans="1:19" x14ac:dyDescent="0.25">
      <c r="A54">
        <v>93089</v>
      </c>
      <c r="B54" t="s">
        <v>37</v>
      </c>
      <c r="C54" t="s">
        <v>38</v>
      </c>
      <c r="D54">
        <v>6</v>
      </c>
      <c r="E54" t="s">
        <v>179</v>
      </c>
      <c r="F54" s="1">
        <v>0.175330621804273</v>
      </c>
      <c r="G54" s="1">
        <v>0.035</v>
      </c>
      <c r="H54" s="1">
        <v>17730.8912594604</v>
      </c>
      <c r="I54" s="1">
        <v>0.0751804330392942</v>
      </c>
      <c r="J54" s="5">
        <v>0.320248119995877</v>
      </c>
      <c r="K54" s="5">
        <v>0.303018072475462</v>
      </c>
      <c r="L54" s="5">
        <v>0.0172300475204143</v>
      </c>
      <c r="M54" s="5">
        <v>0.01913358</v>
      </c>
      <c r="N54" s="1">
        <v>1</v>
      </c>
      <c r="O54" s="1">
        <v>1</v>
      </c>
      <c r="P54" s="1">
        <v>1</v>
      </c>
      <c r="Q54" s="5">
        <v>0.280493783999053</v>
      </c>
      <c r="R54" s="5">
        <f t="shared" si="0"/>
        <v>0.0898276069962264</v>
      </c>
      <c r="S54" s="5">
        <f t="shared" si="1"/>
        <v>0.0849946857687417</v>
      </c>
    </row>
    <row r="55" spans="1:19" x14ac:dyDescent="0.25">
      <c r="A55">
        <v>16171</v>
      </c>
      <c r="B55" t="s">
        <v>180</v>
      </c>
      <c r="C55" t="s">
        <v>181</v>
      </c>
      <c r="D55">
        <v>6</v>
      </c>
      <c r="E55" t="s">
        <v>179</v>
      </c>
      <c r="F55" s="1">
        <v>0.0328354615280822</v>
      </c>
      <c r="G55" s="1">
        <v>0.0264444444444444</v>
      </c>
      <c r="H55" s="1">
        <v>1161.33135292053</v>
      </c>
      <c r="I55" s="1">
        <v>0.318899834057127</v>
      </c>
      <c r="J55" s="5">
        <v>0.591186041286354</v>
      </c>
      <c r="K55" s="5">
        <v>0.57395599376594</v>
      </c>
      <c r="L55" s="5">
        <v>0.0172300475204143</v>
      </c>
      <c r="M55" s="5">
        <v>0.01913358</v>
      </c>
      <c r="N55" s="1">
        <v>1</v>
      </c>
      <c r="O55" s="1">
        <v>0.8</v>
      </c>
      <c r="P55" s="1">
        <v>0.9</v>
      </c>
      <c r="Q55" s="5">
        <v>0.0183716780443068</v>
      </c>
      <c r="R55" s="5">
        <f t="shared" si="0"/>
        <v>0.0108610796148011</v>
      </c>
      <c r="S55" s="5">
        <f t="shared" si="1"/>
        <v>0.010544534729068</v>
      </c>
    </row>
    <row r="56" spans="1:19" x14ac:dyDescent="0.25">
      <c r="A56">
        <v>38093</v>
      </c>
      <c r="B56" t="s">
        <v>25</v>
      </c>
      <c r="C56" t="s">
        <v>26</v>
      </c>
      <c r="D56">
        <v>6</v>
      </c>
      <c r="E56" t="s">
        <v>179</v>
      </c>
      <c r="F56" s="1">
        <v>0.0871199969863491</v>
      </c>
      <c r="G56" s="1">
        <v>0.0406131479140329</v>
      </c>
      <c r="H56" s="1">
        <v>11898.7812174988</v>
      </c>
      <c r="I56" s="1">
        <v>0.100950882962751</v>
      </c>
      <c r="J56" s="5">
        <v>0.291351092466504</v>
      </c>
      <c r="K56" s="5">
        <v>0.27412104494609</v>
      </c>
      <c r="L56" s="5">
        <v>0.0172300475204143</v>
      </c>
      <c r="M56" s="5">
        <v>0.01913358</v>
      </c>
      <c r="N56" s="1">
        <v>0.8</v>
      </c>
      <c r="O56" s="1">
        <v>1</v>
      </c>
      <c r="P56" s="1">
        <v>0.9</v>
      </c>
      <c r="Q56" s="5">
        <v>0.188232735728518</v>
      </c>
      <c r="R56" s="5">
        <f t="shared" si="0"/>
        <v>0.0548418131924625</v>
      </c>
      <c r="S56" s="5">
        <f t="shared" si="1"/>
        <v>0.0515985542109626</v>
      </c>
    </row>
    <row r="57" spans="1:19" x14ac:dyDescent="0.25">
      <c r="A57">
        <v>90272</v>
      </c>
      <c r="B57" t="s">
        <v>55</v>
      </c>
      <c r="C57" t="s">
        <v>56</v>
      </c>
      <c r="D57">
        <v>6</v>
      </c>
      <c r="E57" t="s">
        <v>179</v>
      </c>
      <c r="F57" s="1">
        <v>0.12694583176642</v>
      </c>
      <c r="G57" s="1">
        <v>0.0417681865645667</v>
      </c>
      <c r="H57" s="1">
        <v>11020.4714458466</v>
      </c>
      <c r="I57" s="1">
        <v>0.194569118710973</v>
      </c>
      <c r="J57" s="5">
        <v>0.245951211517391</v>
      </c>
      <c r="K57" s="5">
        <v>0.228721163996977</v>
      </c>
      <c r="L57" s="5">
        <v>0.0172300475204143</v>
      </c>
      <c r="M57" s="5">
        <v>0.01913358</v>
      </c>
      <c r="N57" s="1">
        <v>0.8</v>
      </c>
      <c r="O57" s="1">
        <v>1</v>
      </c>
      <c r="P57" s="1">
        <v>0.9</v>
      </c>
      <c r="Q57" s="5">
        <v>0.174338316786513</v>
      </c>
      <c r="R57" s="5">
        <f t="shared" si="0"/>
        <v>0.0428787202275457</v>
      </c>
      <c r="S57" s="5">
        <f t="shared" si="1"/>
        <v>0.0398748627446851</v>
      </c>
    </row>
    <row r="58" spans="1:19" x14ac:dyDescent="0.25">
      <c r="A58">
        <v>71271</v>
      </c>
      <c r="B58" t="s">
        <v>93</v>
      </c>
      <c r="C58" t="s">
        <v>94</v>
      </c>
      <c r="D58">
        <v>6</v>
      </c>
      <c r="E58" t="s">
        <v>179</v>
      </c>
      <c r="F58" s="1">
        <v>-0.0216814158841283</v>
      </c>
      <c r="G58" s="1">
        <v>0.00981395426865071</v>
      </c>
      <c r="H58" s="1">
        <v>8791.29085205078</v>
      </c>
      <c r="I58" s="1">
        <v>0.0545989594647024</v>
      </c>
      <c r="J58" s="5">
        <v>0.162542039138059</v>
      </c>
      <c r="K58" s="5">
        <v>0.145311991617645</v>
      </c>
      <c r="L58" s="5">
        <v>0.0172300475204143</v>
      </c>
      <c r="M58" s="5">
        <v>0.01913358</v>
      </c>
      <c r="N58" s="1">
        <v>1</v>
      </c>
      <c r="O58" s="1">
        <v>0.6</v>
      </c>
      <c r="P58" s="1">
        <v>0.8</v>
      </c>
      <c r="Q58" s="5">
        <v>0.13907380070431</v>
      </c>
      <c r="R58" s="5">
        <f t="shared" si="0"/>
        <v>0.0226053391571585</v>
      </c>
      <c r="S58" s="5">
        <f t="shared" si="1"/>
        <v>0.0202090909621787</v>
      </c>
    </row>
    <row r="59" spans="1:19" x14ac:dyDescent="0.25">
      <c r="A59">
        <v>13712</v>
      </c>
      <c r="B59" t="s">
        <v>145</v>
      </c>
      <c r="C59" t="s">
        <v>146</v>
      </c>
      <c r="D59">
        <v>6</v>
      </c>
      <c r="E59" t="s">
        <v>179</v>
      </c>
      <c r="F59" s="1">
        <v>-0.0108297474176762</v>
      </c>
      <c r="G59" s="1">
        <v>0.0156521739130435</v>
      </c>
      <c r="H59" s="1">
        <v>838.454756732941</v>
      </c>
      <c r="I59" s="1">
        <v>0.343455473736289</v>
      </c>
      <c r="J59" s="5">
        <v>-0.339178467474536</v>
      </c>
      <c r="K59" s="5">
        <v>-0.356408514994951</v>
      </c>
      <c r="L59" s="5">
        <v>0.0172300475204143</v>
      </c>
      <c r="M59" s="5">
        <v>0.01913358</v>
      </c>
      <c r="N59" s="1">
        <v>1</v>
      </c>
      <c r="O59" s="1">
        <v>0.6</v>
      </c>
      <c r="P59" s="1">
        <v>0.8</v>
      </c>
      <c r="Q59" s="5">
        <v>0.0132639326465073</v>
      </c>
      <c r="R59" s="5">
        <f t="shared" si="0"/>
        <v>-0.00449884034772782</v>
      </c>
      <c r="S59" s="5">
        <f t="shared" si="1"/>
        <v>-0.00472737853753473</v>
      </c>
    </row>
    <row r="60" spans="1:19" x14ac:dyDescent="0.25">
      <c r="A60">
        <v>78038</v>
      </c>
      <c r="B60" t="s">
        <v>109</v>
      </c>
      <c r="C60" t="s">
        <v>110</v>
      </c>
      <c r="D60">
        <v>6</v>
      </c>
      <c r="E60" t="s">
        <v>179</v>
      </c>
      <c r="F60" s="1">
        <v>0.00529477461954941</v>
      </c>
      <c r="G60" s="1">
        <v>0.027171276079573</v>
      </c>
      <c r="H60" s="1">
        <v>3481.15247263145</v>
      </c>
      <c r="I60" s="1">
        <v>-0.0135822785218966</v>
      </c>
      <c r="J60" s="5">
        <v>0.412645964852084</v>
      </c>
      <c r="K60" s="5">
        <v>0.39541591733167</v>
      </c>
      <c r="L60" s="5">
        <v>0.0172300475204143</v>
      </c>
      <c r="M60" s="5">
        <v>0.01913358</v>
      </c>
      <c r="N60" s="1">
        <v>1</v>
      </c>
      <c r="O60" s="1">
        <v>0.6</v>
      </c>
      <c r="P60" s="1">
        <v>0.8</v>
      </c>
      <c r="Q60" s="5">
        <v>0.0550700816691925</v>
      </c>
      <c r="R60" s="5">
        <f t="shared" si="0"/>
        <v>0.022724446984867</v>
      </c>
      <c r="S60" s="5">
        <f t="shared" si="1"/>
        <v>0.0217755868607537</v>
      </c>
    </row>
    <row r="61" spans="1:19" x14ac:dyDescent="0.25">
      <c r="A61">
        <v>78156</v>
      </c>
      <c r="B61" t="s">
        <v>116</v>
      </c>
      <c r="C61" t="s">
        <v>117</v>
      </c>
      <c r="D61">
        <v>6</v>
      </c>
      <c r="E61" t="s">
        <v>179</v>
      </c>
      <c r="F61" s="1">
        <v>0.0169614014257061</v>
      </c>
      <c r="G61" s="1">
        <v>0.0283185840707965</v>
      </c>
      <c r="H61" s="1">
        <v>1802.84862998199</v>
      </c>
      <c r="I61" s="1">
        <v>0.0508094594867039</v>
      </c>
      <c r="J61" s="5">
        <v>0.406842409129529</v>
      </c>
      <c r="K61" s="5">
        <v>0.389612361609114</v>
      </c>
      <c r="L61" s="5">
        <v>0.0172300475204143</v>
      </c>
      <c r="M61" s="5">
        <v>0.01913358</v>
      </c>
      <c r="N61" s="1">
        <v>1</v>
      </c>
      <c r="O61" s="1">
        <v>0.6</v>
      </c>
      <c r="P61" s="1">
        <v>0.8</v>
      </c>
      <c r="Q61" s="5">
        <v>0.0285201587896122</v>
      </c>
      <c r="R61" s="5">
        <f t="shared" si="0"/>
        <v>0.0116032101107225</v>
      </c>
      <c r="S61" s="5">
        <f t="shared" si="1"/>
        <v>0.0111118064194877</v>
      </c>
    </row>
    <row r="62" spans="1:19" x14ac:dyDescent="0.25">
      <c r="A62">
        <v>77120</v>
      </c>
      <c r="B62" t="s">
        <v>124</v>
      </c>
      <c r="C62" t="s">
        <v>125</v>
      </c>
      <c r="D62">
        <v>7</v>
      </c>
      <c r="E62" t="s">
        <v>188</v>
      </c>
      <c r="F62" s="1">
        <v>0.188314340790681</v>
      </c>
      <c r="G62" s="1">
        <v>0.0117489986648865</v>
      </c>
      <c r="H62" s="1">
        <v>1658.13498767853</v>
      </c>
      <c r="I62" s="1">
        <v>0.0148387180272565</v>
      </c>
      <c r="J62" s="5">
        <v>-0.0728714937032255</v>
      </c>
      <c r="K62" s="5">
        <v>-0.169677267278003</v>
      </c>
      <c r="L62" s="5">
        <v>0.0968057735747769</v>
      </c>
      <c r="M62" s="5">
        <v>0.02884099</v>
      </c>
      <c r="N62" s="1">
        <v>1</v>
      </c>
      <c r="O62" s="1">
        <v>1</v>
      </c>
      <c r="P62" s="1">
        <v>1</v>
      </c>
      <c r="Q62" s="5">
        <v>0.017116361836202</v>
      </c>
      <c r="R62" s="5">
        <f t="shared" si="0"/>
        <v>-0.00124729485376892</v>
      </c>
      <c r="S62" s="5">
        <f t="shared" si="1"/>
        <v>-0.00290425750210825</v>
      </c>
    </row>
    <row r="63" spans="1:19" x14ac:dyDescent="0.25">
      <c r="A63">
        <v>33770</v>
      </c>
      <c r="B63" t="s">
        <v>182</v>
      </c>
      <c r="C63" t="s">
        <v>183</v>
      </c>
      <c r="D63">
        <v>7</v>
      </c>
      <c r="E63" t="s">
        <v>188</v>
      </c>
      <c r="F63" s="1">
        <v>0.106024340155073</v>
      </c>
      <c r="G63" s="1">
        <v>0.0163934426229508</v>
      </c>
      <c r="H63" s="1">
        <v>93.2037458896637</v>
      </c>
      <c r="I63" s="1">
        <v>0.226401060699156</v>
      </c>
      <c r="J63" s="5">
        <v>-0.489788640933528</v>
      </c>
      <c r="K63" s="5">
        <v>-0.586594414508305</v>
      </c>
      <c r="L63" s="5">
        <v>0.0968057735747769</v>
      </c>
      <c r="M63" s="5">
        <v>0.02884099</v>
      </c>
      <c r="N63" s="1">
        <v>1</v>
      </c>
      <c r="O63" s="1">
        <v>1</v>
      </c>
      <c r="P63" s="1">
        <v>1</v>
      </c>
      <c r="Q63" s="5">
        <v>0.00096211047411189</v>
      </c>
      <c r="R63" s="5">
        <f t="shared" si="0"/>
        <v>-0.000471230781543175</v>
      </c>
      <c r="S63" s="5">
        <f t="shared" si="1"/>
        <v>-0.000564368630253972</v>
      </c>
    </row>
    <row r="64" spans="1:19" x14ac:dyDescent="0.25">
      <c r="A64">
        <v>93089</v>
      </c>
      <c r="B64" t="s">
        <v>37</v>
      </c>
      <c r="C64" t="s">
        <v>38</v>
      </c>
      <c r="D64">
        <v>7</v>
      </c>
      <c r="E64" t="s">
        <v>188</v>
      </c>
      <c r="F64" s="1">
        <v>0.172267843713446</v>
      </c>
      <c r="G64" s="1">
        <v>0.0332905355832722</v>
      </c>
      <c r="H64" s="1">
        <v>24001.133600235</v>
      </c>
      <c r="I64" s="1">
        <v>0.116492634719374</v>
      </c>
      <c r="J64" s="5">
        <v>0.241959966060017</v>
      </c>
      <c r="K64" s="5">
        <v>0.14515419248524</v>
      </c>
      <c r="L64" s="5">
        <v>0.0968057735747769</v>
      </c>
      <c r="M64" s="5">
        <v>0.02884099</v>
      </c>
      <c r="N64" s="1">
        <v>1</v>
      </c>
      <c r="O64" s="1">
        <v>1</v>
      </c>
      <c r="P64" s="1">
        <v>1</v>
      </c>
      <c r="Q64" s="5">
        <v>0.247755514619352</v>
      </c>
      <c r="R64" s="5">
        <f t="shared" si="0"/>
        <v>0.0599469159084804</v>
      </c>
      <c r="S64" s="5">
        <f t="shared" si="1"/>
        <v>0.0359627516583371</v>
      </c>
    </row>
    <row r="65" spans="1:19" x14ac:dyDescent="0.25">
      <c r="A65">
        <v>13712</v>
      </c>
      <c r="B65" t="s">
        <v>145</v>
      </c>
      <c r="C65" t="s">
        <v>146</v>
      </c>
      <c r="D65">
        <v>7</v>
      </c>
      <c r="E65" t="s">
        <v>188</v>
      </c>
      <c r="F65" s="1">
        <v>0.0569274330600621</v>
      </c>
      <c r="G65" s="1">
        <v>0.000601684717208183</v>
      </c>
      <c r="H65" s="1">
        <v>616.474069894791</v>
      </c>
      <c r="I65" s="1">
        <v>0.106234528284588</v>
      </c>
      <c r="J65" s="5">
        <v>-0.404318046283665</v>
      </c>
      <c r="K65" s="5">
        <v>-0.501123819858442</v>
      </c>
      <c r="L65" s="5">
        <v>0.0968057735747769</v>
      </c>
      <c r="M65" s="5">
        <v>0.02884099</v>
      </c>
      <c r="N65" s="1">
        <v>1</v>
      </c>
      <c r="O65" s="1">
        <v>0.8</v>
      </c>
      <c r="P65" s="1">
        <v>0.9</v>
      </c>
      <c r="Q65" s="5">
        <v>0.00636365152497525</v>
      </c>
      <c r="R65" s="5">
        <f t="shared" si="0"/>
        <v>-0.00257293915180806</v>
      </c>
      <c r="S65" s="5">
        <f t="shared" si="1"/>
        <v>-0.0031889773604436</v>
      </c>
    </row>
    <row r="66" spans="1:19" x14ac:dyDescent="0.25">
      <c r="A66">
        <v>78693</v>
      </c>
      <c r="B66" t="s">
        <v>153</v>
      </c>
      <c r="C66" t="s">
        <v>154</v>
      </c>
      <c r="D66">
        <v>7</v>
      </c>
      <c r="E66" t="s">
        <v>188</v>
      </c>
      <c r="F66" s="1">
        <v>0.0358369330104172</v>
      </c>
      <c r="G66" s="1">
        <v>0.00162308385933273</v>
      </c>
      <c r="H66" s="1">
        <v>1223.37267688751</v>
      </c>
      <c r="I66" s="1">
        <v>0.0165558919274233</v>
      </c>
      <c r="J66" s="5">
        <v>-0.414048232209884</v>
      </c>
      <c r="K66" s="5">
        <v>-0.510854005784661</v>
      </c>
      <c r="L66" s="5">
        <v>0.0968057735747769</v>
      </c>
      <c r="M66" s="5">
        <v>0.02884099</v>
      </c>
      <c r="N66" s="1">
        <v>1</v>
      </c>
      <c r="O66" s="1">
        <v>0.8</v>
      </c>
      <c r="P66" s="1">
        <v>0.9</v>
      </c>
      <c r="Q66" s="5">
        <v>0.0126284588129017</v>
      </c>
      <c r="R66" s="5">
        <f t="shared" ref="R66:R101" si="2">Q66*J66</f>
        <v>-0.00522879104701728</v>
      </c>
      <c r="S66" s="5">
        <f t="shared" ref="S66:S101" si="3">Q66*K66</f>
        <v>-0.00645129877145744</v>
      </c>
    </row>
    <row r="67" spans="1:19" x14ac:dyDescent="0.25">
      <c r="A67">
        <v>23473</v>
      </c>
      <c r="B67" t="s">
        <v>23</v>
      </c>
      <c r="C67" t="s">
        <v>24</v>
      </c>
      <c r="D67">
        <v>7</v>
      </c>
      <c r="E67" t="s">
        <v>188</v>
      </c>
      <c r="F67" s="1">
        <v>0.0362699943205483</v>
      </c>
      <c r="G67" s="1">
        <v>0.0227331438904676</v>
      </c>
      <c r="H67" s="1">
        <v>16929.3107009888</v>
      </c>
      <c r="I67" s="1">
        <v>-0.0566992323796232</v>
      </c>
      <c r="J67" s="5">
        <v>-0.385726972211248</v>
      </c>
      <c r="K67" s="5">
        <v>-0.482532745786025</v>
      </c>
      <c r="L67" s="5">
        <v>0.0968057735747769</v>
      </c>
      <c r="M67" s="5">
        <v>0.02884099</v>
      </c>
      <c r="N67" s="1">
        <v>1</v>
      </c>
      <c r="O67" s="1">
        <v>0.8</v>
      </c>
      <c r="P67" s="1">
        <v>0.9</v>
      </c>
      <c r="Q67" s="5">
        <v>0.174755499249973</v>
      </c>
      <c r="R67" s="5">
        <f t="shared" si="2"/>
        <v>-0.0674079096029573</v>
      </c>
      <c r="S67" s="5">
        <f t="shared" si="3"/>
        <v>-0.0843252508942973</v>
      </c>
    </row>
    <row r="68" spans="1:19" x14ac:dyDescent="0.25">
      <c r="A68">
        <v>78156</v>
      </c>
      <c r="B68" t="s">
        <v>116</v>
      </c>
      <c r="C68" t="s">
        <v>117</v>
      </c>
      <c r="D68">
        <v>7</v>
      </c>
      <c r="E68" t="s">
        <v>188</v>
      </c>
      <c r="F68" s="1">
        <v>0.0452668834449092</v>
      </c>
      <c r="G68" s="1">
        <v>0.0234624955563455</v>
      </c>
      <c r="H68" s="1">
        <v>2829.26644668579</v>
      </c>
      <c r="I68" s="1">
        <v>0.147882243693545</v>
      </c>
      <c r="J68" s="5">
        <v>0.0266184385242498</v>
      </c>
      <c r="K68" s="5">
        <v>-0.0701873350505271</v>
      </c>
      <c r="L68" s="5">
        <v>0.0968057735747769</v>
      </c>
      <c r="M68" s="5">
        <v>0.02884099</v>
      </c>
      <c r="N68" s="1">
        <v>1</v>
      </c>
      <c r="O68" s="1">
        <v>0.8</v>
      </c>
      <c r="P68" s="1">
        <v>0.9</v>
      </c>
      <c r="Q68" s="5">
        <v>0.029205552378036</v>
      </c>
      <c r="R68" s="5">
        <f t="shared" si="2"/>
        <v>0.000777406200541508</v>
      </c>
      <c r="S68" s="5">
        <f t="shared" si="3"/>
        <v>-0.00204985989009293</v>
      </c>
    </row>
    <row r="69" spans="1:19" x14ac:dyDescent="0.25">
      <c r="A69">
        <v>16171</v>
      </c>
      <c r="B69" t="s">
        <v>180</v>
      </c>
      <c r="C69" t="s">
        <v>181</v>
      </c>
      <c r="D69">
        <v>7</v>
      </c>
      <c r="E69" t="s">
        <v>188</v>
      </c>
      <c r="F69" s="1">
        <v>0.0453649448791046</v>
      </c>
      <c r="G69" s="1">
        <v>0.0287976961843053</v>
      </c>
      <c r="H69" s="1">
        <v>1953.64695169067</v>
      </c>
      <c r="I69" s="1">
        <v>0.189199897203067</v>
      </c>
      <c r="J69" s="5">
        <v>0.786257182473919</v>
      </c>
      <c r="K69" s="5">
        <v>0.689451408899142</v>
      </c>
      <c r="L69" s="5">
        <v>0.0968057735747769</v>
      </c>
      <c r="M69" s="5">
        <v>0.02884099</v>
      </c>
      <c r="N69" s="1">
        <v>1</v>
      </c>
      <c r="O69" s="1">
        <v>0.8</v>
      </c>
      <c r="P69" s="1">
        <v>0.9</v>
      </c>
      <c r="Q69" s="5">
        <v>0.0201668310323438</v>
      </c>
      <c r="R69" s="5">
        <f t="shared" si="2"/>
        <v>0.0158563157469183</v>
      </c>
      <c r="S69" s="5">
        <f t="shared" si="3"/>
        <v>0.0139040500682804</v>
      </c>
    </row>
    <row r="70" spans="1:19" x14ac:dyDescent="0.25">
      <c r="A70">
        <v>82486</v>
      </c>
      <c r="B70" t="s">
        <v>47</v>
      </c>
      <c r="C70" t="s">
        <v>48</v>
      </c>
      <c r="D70">
        <v>7</v>
      </c>
      <c r="E70" t="s">
        <v>188</v>
      </c>
      <c r="F70" s="1">
        <v>0.110331752396017</v>
      </c>
      <c r="G70" s="1">
        <v>0.0413322331407996</v>
      </c>
      <c r="H70" s="1">
        <v>11744.9388636169</v>
      </c>
      <c r="I70" s="1">
        <v>0.408114795475046</v>
      </c>
      <c r="J70" s="5">
        <v>-0.135292727170662</v>
      </c>
      <c r="K70" s="5">
        <v>-0.232098500745439</v>
      </c>
      <c r="L70" s="5">
        <v>0.0968057735747769</v>
      </c>
      <c r="M70" s="5">
        <v>0.02884099</v>
      </c>
      <c r="N70" s="1">
        <v>0.8</v>
      </c>
      <c r="O70" s="1">
        <v>1</v>
      </c>
      <c r="P70" s="1">
        <v>0.9</v>
      </c>
      <c r="Q70" s="5">
        <v>0.121238997323849</v>
      </c>
      <c r="R70" s="5">
        <f t="shared" si="2"/>
        <v>-0.0164027545873801</v>
      </c>
      <c r="S70" s="5">
        <f t="shared" si="3"/>
        <v>-0.0281393895107456</v>
      </c>
    </row>
    <row r="71" spans="1:19" x14ac:dyDescent="0.25">
      <c r="A71">
        <v>48653</v>
      </c>
      <c r="B71" t="s">
        <v>39</v>
      </c>
      <c r="C71" t="s">
        <v>40</v>
      </c>
      <c r="D71">
        <v>7</v>
      </c>
      <c r="E71" t="s">
        <v>188</v>
      </c>
      <c r="F71" s="1">
        <v>0.389035127144574</v>
      </c>
      <c r="G71" s="1">
        <v>0.0427254956716001</v>
      </c>
      <c r="H71" s="1">
        <v>35824.7838516235</v>
      </c>
      <c r="I71" s="1">
        <v>0.0591826099903223</v>
      </c>
      <c r="J71" s="5">
        <v>0.69005712810977</v>
      </c>
      <c r="K71" s="5">
        <v>0.593251354534993</v>
      </c>
      <c r="L71" s="5">
        <v>0.0968057735747769</v>
      </c>
      <c r="M71" s="5">
        <v>0.02884099</v>
      </c>
      <c r="N71" s="1">
        <v>0.8</v>
      </c>
      <c r="O71" s="1">
        <v>1</v>
      </c>
      <c r="P71" s="1">
        <v>0.9</v>
      </c>
      <c r="Q71" s="5">
        <v>0.369807022748255</v>
      </c>
      <c r="R71" s="5">
        <f t="shared" si="2"/>
        <v>0.255187972072486</v>
      </c>
      <c r="S71" s="5">
        <f t="shared" si="3"/>
        <v>0.219388517161955</v>
      </c>
    </row>
    <row r="72" spans="1:19" x14ac:dyDescent="0.25">
      <c r="A72">
        <v>86435</v>
      </c>
      <c r="B72" t="s">
        <v>195</v>
      </c>
      <c r="C72" t="s">
        <v>196</v>
      </c>
      <c r="D72">
        <v>8</v>
      </c>
      <c r="E72" t="s">
        <v>203</v>
      </c>
      <c r="F72" s="1">
        <v>0.260826610863194</v>
      </c>
      <c r="G72" s="1">
        <v>0.00481058328322309</v>
      </c>
      <c r="H72" s="1">
        <v>151.692205818176</v>
      </c>
      <c r="I72" s="1">
        <v>0.0476713837788945</v>
      </c>
      <c r="J72" s="5">
        <v>-0.596552589871193</v>
      </c>
      <c r="K72" s="5">
        <v>-1.03311166398118</v>
      </c>
      <c r="L72" s="5">
        <v>0.436559074109985</v>
      </c>
      <c r="M72" s="5">
        <v>0.01890898</v>
      </c>
      <c r="N72" s="1">
        <v>1</v>
      </c>
      <c r="O72" s="1">
        <v>1</v>
      </c>
      <c r="P72" s="1">
        <v>1</v>
      </c>
      <c r="Q72" s="5">
        <v>0.000889238992364806</v>
      </c>
      <c r="R72" s="5">
        <f t="shared" si="2"/>
        <v>-0.000530477823909675</v>
      </c>
      <c r="S72" s="5">
        <f t="shared" si="3"/>
        <v>-0.000918683175078952</v>
      </c>
    </row>
    <row r="73" spans="1:19" x14ac:dyDescent="0.25">
      <c r="A73">
        <v>93089</v>
      </c>
      <c r="B73" t="s">
        <v>37</v>
      </c>
      <c r="C73" t="s">
        <v>38</v>
      </c>
      <c r="D73">
        <v>8</v>
      </c>
      <c r="E73" t="s">
        <v>203</v>
      </c>
      <c r="F73" s="1">
        <v>0.186006378605254</v>
      </c>
      <c r="G73" s="1">
        <v>0.0184143565019419</v>
      </c>
      <c r="H73" s="1">
        <v>27660.9035040283</v>
      </c>
      <c r="I73" s="1">
        <v>0.0885140495177654</v>
      </c>
      <c r="J73" s="5">
        <v>0.00687265649411772</v>
      </c>
      <c r="K73" s="5">
        <v>-0.429686417615868</v>
      </c>
      <c r="L73" s="5">
        <v>0.436559074109985</v>
      </c>
      <c r="M73" s="5">
        <v>0.01890898</v>
      </c>
      <c r="N73" s="1">
        <v>1</v>
      </c>
      <c r="O73" s="1">
        <v>1</v>
      </c>
      <c r="P73" s="1">
        <v>1</v>
      </c>
      <c r="Q73" s="5">
        <v>0.162151732365902</v>
      </c>
      <c r="R73" s="5">
        <f t="shared" si="2"/>
        <v>0.00111441315647696</v>
      </c>
      <c r="S73" s="5">
        <f t="shared" si="3"/>
        <v>-0.0696743969905116</v>
      </c>
    </row>
    <row r="74" spans="1:19" x14ac:dyDescent="0.25">
      <c r="A74">
        <v>90038</v>
      </c>
      <c r="B74" t="s">
        <v>73</v>
      </c>
      <c r="C74" t="s">
        <v>74</v>
      </c>
      <c r="D74">
        <v>8</v>
      </c>
      <c r="E74" t="s">
        <v>203</v>
      </c>
      <c r="F74" s="1">
        <v>0.100463159971908</v>
      </c>
      <c r="G74" s="1">
        <v>0.0447818126335063</v>
      </c>
      <c r="H74" s="1">
        <v>6161.45513461304</v>
      </c>
      <c r="I74" s="1">
        <v>0.252318579675957</v>
      </c>
      <c r="J74" s="5">
        <v>0.602218920694966</v>
      </c>
      <c r="K74" s="5">
        <v>0.165659846584981</v>
      </c>
      <c r="L74" s="5">
        <v>0.436559074109985</v>
      </c>
      <c r="M74" s="5">
        <v>0.01890898</v>
      </c>
      <c r="N74" s="1">
        <v>1</v>
      </c>
      <c r="O74" s="1">
        <v>1</v>
      </c>
      <c r="P74" s="1">
        <v>1</v>
      </c>
      <c r="Q74" s="5">
        <v>0.036119233192321</v>
      </c>
      <c r="R74" s="5">
        <f t="shared" si="2"/>
        <v>0.0217516856294094</v>
      </c>
      <c r="S74" s="5">
        <f t="shared" si="3"/>
        <v>0.00598350662940706</v>
      </c>
    </row>
    <row r="75" spans="1:19" x14ac:dyDescent="0.25">
      <c r="A75">
        <v>78693</v>
      </c>
      <c r="B75" t="s">
        <v>153</v>
      </c>
      <c r="C75" t="s">
        <v>154</v>
      </c>
      <c r="D75">
        <v>8</v>
      </c>
      <c r="E75" t="s">
        <v>203</v>
      </c>
      <c r="F75" s="1">
        <v>0.0422128707855949</v>
      </c>
      <c r="G75" s="1">
        <v>0.0134918820032015</v>
      </c>
      <c r="H75" s="1">
        <v>693.608987083435</v>
      </c>
      <c r="I75" s="1">
        <v>0.122409981255245</v>
      </c>
      <c r="J75" s="5">
        <v>0.186870228060089</v>
      </c>
      <c r="K75" s="5">
        <v>-0.249688846049896</v>
      </c>
      <c r="L75" s="5">
        <v>0.436559074109985</v>
      </c>
      <c r="M75" s="5">
        <v>0.01890898</v>
      </c>
      <c r="N75" s="1">
        <v>1</v>
      </c>
      <c r="O75" s="1">
        <v>0.8</v>
      </c>
      <c r="P75" s="1">
        <v>0.9</v>
      </c>
      <c r="Q75" s="5">
        <v>0.00406602404812115</v>
      </c>
      <c r="R75" s="5">
        <f t="shared" si="2"/>
        <v>0.000759818841170206</v>
      </c>
      <c r="S75" s="5">
        <f t="shared" si="3"/>
        <v>-0.0010152408525865</v>
      </c>
    </row>
    <row r="76" spans="1:19" x14ac:dyDescent="0.25">
      <c r="A76">
        <v>16171</v>
      </c>
      <c r="B76" t="s">
        <v>180</v>
      </c>
      <c r="C76" t="s">
        <v>181</v>
      </c>
      <c r="D76">
        <v>8</v>
      </c>
      <c r="E76" t="s">
        <v>203</v>
      </c>
      <c r="F76" s="1">
        <v>0.0879261966219599</v>
      </c>
      <c r="G76" s="1">
        <v>0.0289199291756837</v>
      </c>
      <c r="H76" s="1">
        <v>3461.64877973938</v>
      </c>
      <c r="I76" s="1">
        <v>0.422188605851049</v>
      </c>
      <c r="J76" s="5">
        <v>0.117771696989277</v>
      </c>
      <c r="K76" s="5">
        <v>-0.318787377120709</v>
      </c>
      <c r="L76" s="5">
        <v>0.436559074109985</v>
      </c>
      <c r="M76" s="5">
        <v>0.01890898</v>
      </c>
      <c r="N76" s="1">
        <v>1</v>
      </c>
      <c r="O76" s="1">
        <v>0.8</v>
      </c>
      <c r="P76" s="1">
        <v>0.9</v>
      </c>
      <c r="Q76" s="5">
        <v>0.0202926251629961</v>
      </c>
      <c r="R76" s="5">
        <f t="shared" si="2"/>
        <v>0.00238989690181336</v>
      </c>
      <c r="S76" s="5">
        <f t="shared" si="3"/>
        <v>-0.00646903275060523</v>
      </c>
    </row>
    <row r="77" spans="1:19" x14ac:dyDescent="0.25">
      <c r="A77">
        <v>82486</v>
      </c>
      <c r="B77" t="s">
        <v>47</v>
      </c>
      <c r="C77" t="s">
        <v>48</v>
      </c>
      <c r="D77">
        <v>8</v>
      </c>
      <c r="E77" t="s">
        <v>203</v>
      </c>
      <c r="F77" s="1">
        <v>0.0793617895155422</v>
      </c>
      <c r="G77" s="1">
        <v>0.0365060240963855</v>
      </c>
      <c r="H77" s="1">
        <v>8863.66881808472</v>
      </c>
      <c r="I77" s="1">
        <v>0.0399150033666188</v>
      </c>
      <c r="J77" s="5">
        <v>0.145181107908825</v>
      </c>
      <c r="K77" s="5">
        <v>-0.29137796620116</v>
      </c>
      <c r="L77" s="5">
        <v>0.436559074109985</v>
      </c>
      <c r="M77" s="5">
        <v>0.01890898</v>
      </c>
      <c r="N77" s="1">
        <v>1</v>
      </c>
      <c r="O77" s="1">
        <v>0.8</v>
      </c>
      <c r="P77" s="1">
        <v>0.9</v>
      </c>
      <c r="Q77" s="5">
        <v>0.0519599532878872</v>
      </c>
      <c r="R77" s="5">
        <f t="shared" si="2"/>
        <v>0.00754360358522626</v>
      </c>
      <c r="S77" s="5">
        <f t="shared" si="3"/>
        <v>-0.0151399855129319</v>
      </c>
    </row>
    <row r="78" spans="1:19" x14ac:dyDescent="0.25">
      <c r="A78">
        <v>76721</v>
      </c>
      <c r="B78" t="s">
        <v>193</v>
      </c>
      <c r="C78" t="s">
        <v>194</v>
      </c>
      <c r="D78">
        <v>8</v>
      </c>
      <c r="E78" t="s">
        <v>203</v>
      </c>
      <c r="F78" s="1">
        <v>0.0740329542305525</v>
      </c>
      <c r="G78" s="1">
        <v>0.0380134886572655</v>
      </c>
      <c r="H78" s="1">
        <v>1274.38951902771</v>
      </c>
      <c r="I78" s="1">
        <v>0.0669651652189487</v>
      </c>
      <c r="J78" s="5">
        <v>0.835321831338717</v>
      </c>
      <c r="K78" s="5">
        <v>0.398762757228732</v>
      </c>
      <c r="L78" s="5">
        <v>0.436559074109985</v>
      </c>
      <c r="M78" s="5">
        <v>0.01890898</v>
      </c>
      <c r="N78" s="1">
        <v>1</v>
      </c>
      <c r="O78" s="1">
        <v>0.8</v>
      </c>
      <c r="P78" s="1">
        <v>0.9</v>
      </c>
      <c r="Q78" s="5">
        <v>0.00747063335039646</v>
      </c>
      <c r="R78" s="5">
        <f t="shared" si="2"/>
        <v>0.00624038313151327</v>
      </c>
      <c r="S78" s="5">
        <f t="shared" si="3"/>
        <v>0.00297901035304901</v>
      </c>
    </row>
    <row r="79" spans="1:19" x14ac:dyDescent="0.25">
      <c r="A79">
        <v>48653</v>
      </c>
      <c r="B79" t="s">
        <v>39</v>
      </c>
      <c r="C79" t="s">
        <v>40</v>
      </c>
      <c r="D79">
        <v>8</v>
      </c>
      <c r="E79" t="s">
        <v>203</v>
      </c>
      <c r="F79" s="1">
        <v>0.357274629900357</v>
      </c>
      <c r="G79" s="1">
        <v>0.0551129542726181</v>
      </c>
      <c r="H79" s="1">
        <v>51262.8765</v>
      </c>
      <c r="I79" s="1">
        <v>0.140146190610065</v>
      </c>
      <c r="J79" s="5">
        <v>0.0726181073197392</v>
      </c>
      <c r="K79" s="5">
        <v>-0.363940966790246</v>
      </c>
      <c r="L79" s="5">
        <v>0.436559074109985</v>
      </c>
      <c r="M79" s="5">
        <v>0.01890898</v>
      </c>
      <c r="N79" s="1">
        <v>0.8</v>
      </c>
      <c r="O79" s="1">
        <v>1</v>
      </c>
      <c r="P79" s="1">
        <v>0.9</v>
      </c>
      <c r="Q79" s="5">
        <v>0.300509498155899</v>
      </c>
      <c r="R79" s="5">
        <f t="shared" si="2"/>
        <v>0.0218224309876861</v>
      </c>
      <c r="S79" s="5">
        <f t="shared" si="3"/>
        <v>-0.10936771728851</v>
      </c>
    </row>
    <row r="80" spans="1:19" x14ac:dyDescent="0.25">
      <c r="A80">
        <v>89179</v>
      </c>
      <c r="B80" t="s">
        <v>118</v>
      </c>
      <c r="C80" t="s">
        <v>119</v>
      </c>
      <c r="D80">
        <v>8</v>
      </c>
      <c r="E80" t="s">
        <v>203</v>
      </c>
      <c r="F80" s="1">
        <v>0.274028040465968</v>
      </c>
      <c r="G80" s="1">
        <v>0.0622785815978545</v>
      </c>
      <c r="H80" s="1">
        <v>66301.4684498291</v>
      </c>
      <c r="I80" s="1">
        <v>0.131458661310461</v>
      </c>
      <c r="J80" s="5">
        <v>0.372021134429452</v>
      </c>
      <c r="K80" s="5">
        <v>-0.0645379396805335</v>
      </c>
      <c r="L80" s="5">
        <v>0.436559074109985</v>
      </c>
      <c r="M80" s="5">
        <v>0.01890898</v>
      </c>
      <c r="N80" s="1">
        <v>0.8</v>
      </c>
      <c r="O80" s="1">
        <v>1</v>
      </c>
      <c r="P80" s="1">
        <v>0.9</v>
      </c>
      <c r="Q80" s="5">
        <v>0.388667635747232</v>
      </c>
      <c r="R80" s="5">
        <f t="shared" si="2"/>
        <v>0.144592574766698</v>
      </c>
      <c r="S80" s="5">
        <f t="shared" si="3"/>
        <v>-0.0250838084316304</v>
      </c>
    </row>
    <row r="81" spans="1:19" x14ac:dyDescent="0.25">
      <c r="A81">
        <v>93330</v>
      </c>
      <c r="B81" t="s">
        <v>138</v>
      </c>
      <c r="C81" t="s">
        <v>139</v>
      </c>
      <c r="D81">
        <v>8</v>
      </c>
      <c r="E81" t="s">
        <v>203</v>
      </c>
      <c r="F81" s="1">
        <v>0.138086592941259</v>
      </c>
      <c r="G81" s="1">
        <v>0.0662530637254902</v>
      </c>
      <c r="H81" s="1">
        <v>4754.83133777618</v>
      </c>
      <c r="I81" s="1">
        <v>0.0803545345589082</v>
      </c>
      <c r="J81" s="5">
        <v>0.445328350327204</v>
      </c>
      <c r="K81" s="5">
        <v>0.00876927621721824</v>
      </c>
      <c r="L81" s="5">
        <v>0.436559074109985</v>
      </c>
      <c r="M81" s="5">
        <v>0.01890898</v>
      </c>
      <c r="N81" s="1">
        <v>0.8</v>
      </c>
      <c r="O81" s="1">
        <v>1</v>
      </c>
      <c r="P81" s="1">
        <v>0.9</v>
      </c>
      <c r="Q81" s="5">
        <v>0.0278734256968796</v>
      </c>
      <c r="R81" s="5">
        <f t="shared" si="2"/>
        <v>0.0124128266835593</v>
      </c>
      <c r="S81" s="5">
        <f t="shared" si="3"/>
        <v>0.000244429769056046</v>
      </c>
    </row>
    <row r="82" spans="1:19" x14ac:dyDescent="0.25">
      <c r="A82">
        <v>93089</v>
      </c>
      <c r="B82" t="s">
        <v>37</v>
      </c>
      <c r="C82" t="s">
        <v>38</v>
      </c>
      <c r="D82">
        <v>9</v>
      </c>
      <c r="E82" t="s">
        <v>208</v>
      </c>
      <c r="F82" s="1">
        <v>0.207923244458583</v>
      </c>
      <c r="G82" s="1">
        <v>0.0210992822390289</v>
      </c>
      <c r="H82" s="1">
        <v>28291.7109176636</v>
      </c>
      <c r="I82" s="1">
        <v>0.0680833109585363</v>
      </c>
      <c r="J82" s="5">
        <v>0.0179960627396054</v>
      </c>
      <c r="K82" s="5">
        <v>0.0705761056919102</v>
      </c>
      <c r="L82" s="5">
        <v>-0.0525800429523048</v>
      </c>
      <c r="M82" s="5">
        <v>-0.001605349</v>
      </c>
      <c r="N82" s="1">
        <v>1</v>
      </c>
      <c r="O82" s="1">
        <v>1</v>
      </c>
      <c r="P82" s="1">
        <v>1</v>
      </c>
      <c r="Q82" s="5">
        <v>0.114442665840145</v>
      </c>
      <c r="R82" s="5">
        <f t="shared" si="2"/>
        <v>0.00205951739454695</v>
      </c>
      <c r="S82" s="5">
        <f t="shared" si="3"/>
        <v>0.00807691767999805</v>
      </c>
    </row>
    <row r="83" spans="1:19" x14ac:dyDescent="0.25">
      <c r="A83">
        <v>13904</v>
      </c>
      <c r="B83" t="s">
        <v>111</v>
      </c>
      <c r="C83" t="s">
        <v>112</v>
      </c>
      <c r="D83">
        <v>9</v>
      </c>
      <c r="E83" t="s">
        <v>208</v>
      </c>
      <c r="F83" s="1">
        <v>0.115755075646914</v>
      </c>
      <c r="G83" s="1">
        <v>0.0236354361503146</v>
      </c>
      <c r="H83" s="1">
        <v>7455.7065</v>
      </c>
      <c r="I83" s="1">
        <v>0.0231407169609417</v>
      </c>
      <c r="J83" s="5">
        <v>0.0594058864725304</v>
      </c>
      <c r="K83" s="5">
        <v>0.111985929424835</v>
      </c>
      <c r="L83" s="5">
        <v>-0.0525800429523048</v>
      </c>
      <c r="M83" s="5">
        <v>-0.001605349</v>
      </c>
      <c r="N83" s="1">
        <v>1</v>
      </c>
      <c r="O83" s="1">
        <v>1</v>
      </c>
      <c r="P83" s="1">
        <v>1</v>
      </c>
      <c r="Q83" s="5">
        <v>0.0301590430520404</v>
      </c>
      <c r="R83" s="5">
        <f t="shared" si="2"/>
        <v>0.00179162468766967</v>
      </c>
      <c r="S83" s="5">
        <f t="shared" si="3"/>
        <v>0.00337738846674636</v>
      </c>
    </row>
    <row r="84" spans="1:19" x14ac:dyDescent="0.25">
      <c r="A84">
        <v>33770</v>
      </c>
      <c r="B84" t="s">
        <v>182</v>
      </c>
      <c r="C84" t="s">
        <v>183</v>
      </c>
      <c r="D84">
        <v>9</v>
      </c>
      <c r="E84" t="s">
        <v>208</v>
      </c>
      <c r="F84" s="1">
        <v>0.0560130612396987</v>
      </c>
      <c r="G84" s="1">
        <v>0.0135338345864662</v>
      </c>
      <c r="H84" s="1">
        <v>82.3758020143509</v>
      </c>
      <c r="I84" s="1">
        <v>-0.0975041734506707</v>
      </c>
      <c r="J84" s="5">
        <v>-0.426961115448116</v>
      </c>
      <c r="K84" s="5">
        <v>-0.374381072495811</v>
      </c>
      <c r="L84" s="5">
        <v>-0.0525800429523048</v>
      </c>
      <c r="M84" s="5">
        <v>-0.001605349</v>
      </c>
      <c r="N84" s="1">
        <v>1</v>
      </c>
      <c r="O84" s="1">
        <v>0.8</v>
      </c>
      <c r="P84" s="1">
        <v>0.9</v>
      </c>
      <c r="Q84" s="5">
        <v>0.00033321796658669</v>
      </c>
      <c r="R84" s="5">
        <f t="shared" si="2"/>
        <v>-0.000142271114701206</v>
      </c>
      <c r="S84" s="5">
        <f t="shared" si="3"/>
        <v>-0.000124750499705598</v>
      </c>
    </row>
    <row r="85" spans="1:19" x14ac:dyDescent="0.25">
      <c r="A85">
        <v>16171</v>
      </c>
      <c r="B85" t="s">
        <v>180</v>
      </c>
      <c r="C85" t="s">
        <v>181</v>
      </c>
      <c r="D85">
        <v>9</v>
      </c>
      <c r="E85" t="s">
        <v>208</v>
      </c>
      <c r="F85" s="1">
        <v>0.0475718128007375</v>
      </c>
      <c r="G85" s="1">
        <v>0.019787138360066</v>
      </c>
      <c r="H85" s="1">
        <v>3757.74471743774</v>
      </c>
      <c r="I85" s="1">
        <v>0.45585144101707</v>
      </c>
      <c r="J85" s="5">
        <v>0.323952157344735</v>
      </c>
      <c r="K85" s="5">
        <v>0.37653220029704</v>
      </c>
      <c r="L85" s="5">
        <v>-0.0525800429523048</v>
      </c>
      <c r="M85" s="5">
        <v>-0.001605349</v>
      </c>
      <c r="N85" s="1">
        <v>1</v>
      </c>
      <c r="O85" s="1">
        <v>0.8</v>
      </c>
      <c r="P85" s="1">
        <v>0.9</v>
      </c>
      <c r="Q85" s="5">
        <v>0.0152004353593831</v>
      </c>
      <c r="R85" s="5">
        <f t="shared" si="2"/>
        <v>0.00492421382725134</v>
      </c>
      <c r="S85" s="5">
        <f t="shared" si="3"/>
        <v>0.00572345337134144</v>
      </c>
    </row>
    <row r="86" spans="1:19" x14ac:dyDescent="0.25">
      <c r="A86">
        <v>45751</v>
      </c>
      <c r="B86" t="s">
        <v>27</v>
      </c>
      <c r="C86" t="s">
        <v>28</v>
      </c>
      <c r="D86">
        <v>9</v>
      </c>
      <c r="E86" t="s">
        <v>208</v>
      </c>
      <c r="F86" s="1">
        <v>0.0365166174626351</v>
      </c>
      <c r="G86" s="1">
        <v>0.034017094017094</v>
      </c>
      <c r="H86" s="1">
        <v>71540.2780354004</v>
      </c>
      <c r="I86" s="1">
        <v>0.0343502282008167</v>
      </c>
      <c r="J86" s="5">
        <v>0.171966932683499</v>
      </c>
      <c r="K86" s="5">
        <v>0.224546975635804</v>
      </c>
      <c r="L86" s="5">
        <v>-0.0525800429523048</v>
      </c>
      <c r="M86" s="5">
        <v>-0.001605349</v>
      </c>
      <c r="N86" s="1">
        <v>1</v>
      </c>
      <c r="O86" s="1">
        <v>0.8</v>
      </c>
      <c r="P86" s="1">
        <v>0.9</v>
      </c>
      <c r="Q86" s="5">
        <v>0.289387239857763</v>
      </c>
      <c r="R86" s="5">
        <f t="shared" si="2"/>
        <v>0.0497650359960835</v>
      </c>
      <c r="S86" s="5">
        <f t="shared" si="3"/>
        <v>0.0649810294976537</v>
      </c>
    </row>
    <row r="87" spans="1:19" x14ac:dyDescent="0.25">
      <c r="A87">
        <v>78211</v>
      </c>
      <c r="B87" t="s">
        <v>165</v>
      </c>
      <c r="C87" t="s">
        <v>166</v>
      </c>
      <c r="D87">
        <v>9</v>
      </c>
      <c r="E87" t="s">
        <v>208</v>
      </c>
      <c r="F87" s="1">
        <v>0.0937256207594021</v>
      </c>
      <c r="G87" s="1">
        <v>0.0397088021178028</v>
      </c>
      <c r="H87" s="1">
        <v>433.278083572388</v>
      </c>
      <c r="I87" s="1">
        <v>0.142033169709725</v>
      </c>
      <c r="J87" s="5">
        <v>-0.0360143119569879</v>
      </c>
      <c r="K87" s="5">
        <v>0.0165657309953169</v>
      </c>
      <c r="L87" s="5">
        <v>-0.0525800429523048</v>
      </c>
      <c r="M87" s="5">
        <v>-0.001605349</v>
      </c>
      <c r="N87" s="1">
        <v>0.8</v>
      </c>
      <c r="O87" s="1">
        <v>1</v>
      </c>
      <c r="P87" s="1">
        <v>0.9</v>
      </c>
      <c r="Q87" s="5">
        <v>0.00175265112380231</v>
      </c>
      <c r="R87" s="5">
        <f t="shared" si="2"/>
        <v>-0.000063120524324382</v>
      </c>
      <c r="S87" s="5">
        <f t="shared" si="3"/>
        <v>0.000029033947045549</v>
      </c>
    </row>
    <row r="88" spans="1:19" x14ac:dyDescent="0.25">
      <c r="A88">
        <v>89179</v>
      </c>
      <c r="B88" t="s">
        <v>118</v>
      </c>
      <c r="C88" t="s">
        <v>119</v>
      </c>
      <c r="D88">
        <v>9</v>
      </c>
      <c r="E88" t="s">
        <v>208</v>
      </c>
      <c r="F88" s="1">
        <v>0.291756911607615</v>
      </c>
      <c r="G88" s="1">
        <v>0.0567753589336323</v>
      </c>
      <c r="H88" s="1">
        <v>93480.2908112183</v>
      </c>
      <c r="I88" s="1">
        <v>0.169403049523572</v>
      </c>
      <c r="J88" s="5">
        <v>0.293898917498848</v>
      </c>
      <c r="K88" s="5">
        <v>0.346478960451153</v>
      </c>
      <c r="L88" s="5">
        <v>-0.0525800429523048</v>
      </c>
      <c r="M88" s="5">
        <v>-0.001605349</v>
      </c>
      <c r="N88" s="1">
        <v>0.8</v>
      </c>
      <c r="O88" s="1">
        <v>1</v>
      </c>
      <c r="P88" s="1">
        <v>0.9</v>
      </c>
      <c r="Q88" s="5">
        <v>0.378136681626723</v>
      </c>
      <c r="R88" s="5">
        <f t="shared" si="2"/>
        <v>0.111133961396701</v>
      </c>
      <c r="S88" s="5">
        <f t="shared" si="3"/>
        <v>0.131016404358476</v>
      </c>
    </row>
    <row r="89" spans="1:19" x14ac:dyDescent="0.25">
      <c r="A89">
        <v>91498</v>
      </c>
      <c r="B89" t="s">
        <v>197</v>
      </c>
      <c r="C89" t="s">
        <v>198</v>
      </c>
      <c r="D89">
        <v>9</v>
      </c>
      <c r="E89" t="s">
        <v>208</v>
      </c>
      <c r="F89" s="1">
        <v>0.0284771686062008</v>
      </c>
      <c r="G89" s="1">
        <v>0.0247840249256479</v>
      </c>
      <c r="H89" s="1">
        <v>1529.26243995667</v>
      </c>
      <c r="I89" s="1">
        <v>0.151269950079119</v>
      </c>
      <c r="J89" s="5">
        <v>-0.839080449621479</v>
      </c>
      <c r="K89" s="5">
        <v>-0.786500406669174</v>
      </c>
      <c r="L89" s="5">
        <v>-0.0525800429523048</v>
      </c>
      <c r="M89" s="5">
        <v>-0.001605349</v>
      </c>
      <c r="N89" s="1">
        <v>1</v>
      </c>
      <c r="O89" s="1">
        <v>0.6</v>
      </c>
      <c r="P89" s="1">
        <v>0.8</v>
      </c>
      <c r="Q89" s="5">
        <v>0.00618601225310057</v>
      </c>
      <c r="R89" s="5">
        <f t="shared" si="2"/>
        <v>-0.00519056194269561</v>
      </c>
      <c r="S89" s="5">
        <f t="shared" si="3"/>
        <v>-0.0048653011527241</v>
      </c>
    </row>
    <row r="90" spans="1:19" x14ac:dyDescent="0.25">
      <c r="A90">
        <v>38093</v>
      </c>
      <c r="B90" t="s">
        <v>25</v>
      </c>
      <c r="C90" t="s">
        <v>26</v>
      </c>
      <c r="D90">
        <v>9</v>
      </c>
      <c r="E90" t="s">
        <v>208</v>
      </c>
      <c r="F90" s="1">
        <v>-0.0103517157589739</v>
      </c>
      <c r="G90" s="1">
        <v>0.0346778756769865</v>
      </c>
      <c r="H90" s="1">
        <v>27439.8513186798</v>
      </c>
      <c r="I90" s="1">
        <v>-0.0266018068102849</v>
      </c>
      <c r="J90" s="5">
        <v>0.11832972112727</v>
      </c>
      <c r="K90" s="5">
        <v>0.170909764079575</v>
      </c>
      <c r="L90" s="5">
        <v>-0.0525800429523048</v>
      </c>
      <c r="M90" s="5">
        <v>-0.001605349</v>
      </c>
      <c r="N90" s="1">
        <v>1</v>
      </c>
      <c r="O90" s="1">
        <v>0.6</v>
      </c>
      <c r="P90" s="1">
        <v>0.8</v>
      </c>
      <c r="Q90" s="5">
        <v>0.110996812610804</v>
      </c>
      <c r="R90" s="5">
        <f t="shared" si="2"/>
        <v>0.0131342218822523</v>
      </c>
      <c r="S90" s="5">
        <f t="shared" si="3"/>
        <v>0.0189704390568973</v>
      </c>
    </row>
    <row r="91" spans="1:19" x14ac:dyDescent="0.25">
      <c r="A91">
        <v>17743</v>
      </c>
      <c r="B91" t="s">
        <v>75</v>
      </c>
      <c r="C91" t="s">
        <v>76</v>
      </c>
      <c r="D91">
        <v>9</v>
      </c>
      <c r="E91" t="s">
        <v>208</v>
      </c>
      <c r="F91" s="1">
        <v>0.0375344244810405</v>
      </c>
      <c r="G91" s="1">
        <v>0.0427582053598314</v>
      </c>
      <c r="H91" s="1">
        <v>13202.4678841324</v>
      </c>
      <c r="I91" s="1">
        <v>0.0270228451365133</v>
      </c>
      <c r="J91" s="5">
        <v>0.402869747415025</v>
      </c>
      <c r="K91" s="5">
        <v>0.45544979036733</v>
      </c>
      <c r="L91" s="5">
        <v>-0.0525800429523048</v>
      </c>
      <c r="M91" s="5">
        <v>-0.001605349</v>
      </c>
      <c r="N91" s="1">
        <v>0.8</v>
      </c>
      <c r="O91" s="1">
        <v>0.8</v>
      </c>
      <c r="P91" s="1">
        <v>0.8</v>
      </c>
      <c r="Q91" s="5">
        <v>0.0534052403096514</v>
      </c>
      <c r="R91" s="5">
        <f t="shared" si="2"/>
        <v>0.021515355674188</v>
      </c>
      <c r="S91" s="5">
        <f t="shared" si="3"/>
        <v>0.0243234055035476</v>
      </c>
    </row>
    <row r="92" spans="1:19" x14ac:dyDescent="0.25">
      <c r="A92">
        <v>93089</v>
      </c>
      <c r="B92" t="s">
        <v>37</v>
      </c>
      <c r="C92" t="s">
        <v>38</v>
      </c>
      <c r="D92">
        <v>10</v>
      </c>
      <c r="E92" t="s">
        <v>213</v>
      </c>
      <c r="F92" s="1">
        <v>0.234835871823653</v>
      </c>
      <c r="G92" s="1">
        <v>0.0180125038254711</v>
      </c>
      <c r="H92" s="1">
        <v>27392.7035504456</v>
      </c>
      <c r="I92" s="1">
        <v>0.0768512533218416</v>
      </c>
      <c r="J92" s="5">
        <v>0.261595190789758</v>
      </c>
      <c r="K92" s="5">
        <v>0.250992081627107</v>
      </c>
      <c r="L92" s="5">
        <v>0.0106031091626513</v>
      </c>
      <c r="M92" s="5">
        <v>-0.01137352</v>
      </c>
      <c r="N92" s="1">
        <v>1</v>
      </c>
      <c r="O92" s="1">
        <v>1</v>
      </c>
      <c r="P92" s="1">
        <v>1</v>
      </c>
      <c r="Q92" s="5">
        <v>0.0330450803420492</v>
      </c>
      <c r="R92" s="5">
        <f t="shared" si="2"/>
        <v>0.00864443409674124</v>
      </c>
      <c r="S92" s="5">
        <f t="shared" si="3"/>
        <v>0.00829405350258592</v>
      </c>
    </row>
    <row r="93" spans="1:19" x14ac:dyDescent="0.25">
      <c r="A93">
        <v>16638</v>
      </c>
      <c r="B93" t="s">
        <v>199</v>
      </c>
      <c r="C93" t="s">
        <v>200</v>
      </c>
      <c r="D93">
        <v>10</v>
      </c>
      <c r="E93" t="s">
        <v>213</v>
      </c>
      <c r="F93" s="1">
        <v>0.0908145538297302</v>
      </c>
      <c r="G93" s="1">
        <v>0.0206240084611317</v>
      </c>
      <c r="H93" s="1">
        <v>348.480306472778</v>
      </c>
      <c r="I93" s="1">
        <v>0.0575048064839385</v>
      </c>
      <c r="J93" s="5">
        <v>-0.179640766725149</v>
      </c>
      <c r="K93" s="5">
        <v>-0.1902438758878</v>
      </c>
      <c r="L93" s="5">
        <v>0.0106031091626513</v>
      </c>
      <c r="M93" s="5">
        <v>-0.01137352</v>
      </c>
      <c r="N93" s="1">
        <v>1</v>
      </c>
      <c r="O93" s="1">
        <v>0.8</v>
      </c>
      <c r="P93" s="1">
        <v>0.9</v>
      </c>
      <c r="Q93" s="5">
        <v>0.000420387849041923</v>
      </c>
      <c r="R93" s="5">
        <f t="shared" si="2"/>
        <v>-0.0000755187955238273</v>
      </c>
      <c r="S93" s="5">
        <f t="shared" si="3"/>
        <v>-0.0000799762137778708</v>
      </c>
    </row>
    <row r="94" spans="1:19" x14ac:dyDescent="0.25">
      <c r="A94">
        <v>89269</v>
      </c>
      <c r="B94" t="s">
        <v>103</v>
      </c>
      <c r="C94" t="s">
        <v>104</v>
      </c>
      <c r="D94">
        <v>10</v>
      </c>
      <c r="E94" t="s">
        <v>213</v>
      </c>
      <c r="F94" s="1">
        <v>0.0827436094945335</v>
      </c>
      <c r="G94" s="1">
        <v>0.0280339805825243</v>
      </c>
      <c r="H94" s="1">
        <v>49487.2894269867</v>
      </c>
      <c r="I94" s="1">
        <v>0.133798317058903</v>
      </c>
      <c r="J94" s="5">
        <v>-0.233668985614976</v>
      </c>
      <c r="K94" s="5">
        <v>-0.244272094777628</v>
      </c>
      <c r="L94" s="5">
        <v>0.0106031091626513</v>
      </c>
      <c r="M94" s="5">
        <v>-0.01137352</v>
      </c>
      <c r="N94" s="1">
        <v>1</v>
      </c>
      <c r="O94" s="1">
        <v>0.8</v>
      </c>
      <c r="P94" s="1">
        <v>0.9</v>
      </c>
      <c r="Q94" s="5">
        <v>0.0596987972367706</v>
      </c>
      <c r="R94" s="5">
        <f t="shared" si="2"/>
        <v>-0.0139497573927503</v>
      </c>
      <c r="S94" s="5">
        <f t="shared" si="3"/>
        <v>-0.0145827502567308</v>
      </c>
    </row>
    <row r="95" spans="1:19" x14ac:dyDescent="0.25">
      <c r="A95">
        <v>92655</v>
      </c>
      <c r="B95" t="s">
        <v>91</v>
      </c>
      <c r="C95" t="s">
        <v>92</v>
      </c>
      <c r="D95">
        <v>10</v>
      </c>
      <c r="E95" t="s">
        <v>213</v>
      </c>
      <c r="F95" s="1">
        <v>0.0878019710039537</v>
      </c>
      <c r="G95" s="1">
        <v>0.0365037638905484</v>
      </c>
      <c r="H95" s="1">
        <v>481873.288940918</v>
      </c>
      <c r="I95" s="1">
        <v>0.118440855406178</v>
      </c>
      <c r="J95" s="5">
        <v>-0.0063088304156137</v>
      </c>
      <c r="K95" s="5">
        <v>-0.016911939578265</v>
      </c>
      <c r="L95" s="5">
        <v>0.0106031091626513</v>
      </c>
      <c r="M95" s="5">
        <v>-0.01137352</v>
      </c>
      <c r="N95" s="1">
        <v>1</v>
      </c>
      <c r="O95" s="1">
        <v>0.8</v>
      </c>
      <c r="P95" s="1">
        <v>0.9</v>
      </c>
      <c r="Q95" s="5">
        <v>0.581305949535642</v>
      </c>
      <c r="R95" s="5">
        <f t="shared" si="2"/>
        <v>-0.00366736065520766</v>
      </c>
      <c r="S95" s="5">
        <f t="shared" si="3"/>
        <v>-0.00983101109503273</v>
      </c>
    </row>
    <row r="96" spans="1:19" x14ac:dyDescent="0.25">
      <c r="A96">
        <v>78211</v>
      </c>
      <c r="B96" t="s">
        <v>165</v>
      </c>
      <c r="C96" t="s">
        <v>166</v>
      </c>
      <c r="D96">
        <v>10</v>
      </c>
      <c r="E96" t="s">
        <v>213</v>
      </c>
      <c r="F96" s="1">
        <v>0.0984070002267005</v>
      </c>
      <c r="G96" s="1">
        <v>0.0382352941176471</v>
      </c>
      <c r="H96" s="1">
        <v>403.226371736527</v>
      </c>
      <c r="I96" s="1">
        <v>0.0457516522646981</v>
      </c>
      <c r="J96" s="5">
        <v>0.181377907822836</v>
      </c>
      <c r="K96" s="5">
        <v>0.170774798660185</v>
      </c>
      <c r="L96" s="5">
        <v>0.0106031091626513</v>
      </c>
      <c r="M96" s="5">
        <v>-0.01137352</v>
      </c>
      <c r="N96" s="1">
        <v>0.8</v>
      </c>
      <c r="O96" s="1">
        <v>1</v>
      </c>
      <c r="P96" s="1">
        <v>0.9</v>
      </c>
      <c r="Q96" s="5">
        <v>0.000486430549855302</v>
      </c>
      <c r="R96" s="5">
        <f t="shared" si="2"/>
        <v>0.0000882277554338663</v>
      </c>
      <c r="S96" s="5">
        <f t="shared" si="3"/>
        <v>0.0000830700792137022</v>
      </c>
    </row>
    <row r="97" spans="1:19" x14ac:dyDescent="0.25">
      <c r="A97">
        <v>48653</v>
      </c>
      <c r="B97" t="s">
        <v>39</v>
      </c>
      <c r="C97" t="s">
        <v>40</v>
      </c>
      <c r="D97">
        <v>10</v>
      </c>
      <c r="E97" t="s">
        <v>213</v>
      </c>
      <c r="F97" s="1">
        <v>0.197914341092323</v>
      </c>
      <c r="G97" s="1">
        <v>0.0491312033803303</v>
      </c>
      <c r="H97" s="1">
        <v>59207.5794364624</v>
      </c>
      <c r="I97" s="1">
        <v>0.0851514122227158</v>
      </c>
      <c r="J97" s="5">
        <v>0.112264340622182</v>
      </c>
      <c r="K97" s="5">
        <v>0.101661231459531</v>
      </c>
      <c r="L97" s="5">
        <v>0.0106031091626513</v>
      </c>
      <c r="M97" s="5">
        <v>-0.01137352</v>
      </c>
      <c r="N97" s="1">
        <v>0.8</v>
      </c>
      <c r="O97" s="1">
        <v>1</v>
      </c>
      <c r="P97" s="1">
        <v>0.9</v>
      </c>
      <c r="Q97" s="5">
        <v>0.0714248309128411</v>
      </c>
      <c r="R97" s="5">
        <f t="shared" si="2"/>
        <v>0.00801846154648095</v>
      </c>
      <c r="S97" s="5">
        <f t="shared" si="3"/>
        <v>0.00726113626738821</v>
      </c>
    </row>
    <row r="98" spans="1:19" x14ac:dyDescent="0.25">
      <c r="A98">
        <v>89179</v>
      </c>
      <c r="B98" t="s">
        <v>214</v>
      </c>
      <c r="C98" t="s">
        <v>215</v>
      </c>
      <c r="D98">
        <v>10</v>
      </c>
      <c r="E98" t="s">
        <v>213</v>
      </c>
      <c r="F98" s="1">
        <v>0.265701437452641</v>
      </c>
      <c r="G98" s="1">
        <v>0.0540190706303663</v>
      </c>
      <c r="H98" s="1">
        <v>116342.796062775</v>
      </c>
      <c r="I98" s="1">
        <v>0.137625444131717</v>
      </c>
      <c r="J98" s="5">
        <v>-0.111380168039369</v>
      </c>
      <c r="K98" s="5">
        <v>-0.12198327720202</v>
      </c>
      <c r="L98" s="5">
        <v>0.0106031091626513</v>
      </c>
      <c r="M98" s="5">
        <v>-0.01137352</v>
      </c>
      <c r="N98" s="1">
        <v>0.8</v>
      </c>
      <c r="O98" s="1">
        <v>1</v>
      </c>
      <c r="P98" s="1">
        <v>0.9</v>
      </c>
      <c r="Q98" s="5">
        <v>0.140349675088953</v>
      </c>
      <c r="R98" s="5">
        <f t="shared" si="2"/>
        <v>-0.0156321703956784</v>
      </c>
      <c r="S98" s="5">
        <f t="shared" si="3"/>
        <v>-0.0171203133215892</v>
      </c>
    </row>
    <row r="99" spans="1:19" x14ac:dyDescent="0.25">
      <c r="A99">
        <v>90038</v>
      </c>
      <c r="B99" t="s">
        <v>73</v>
      </c>
      <c r="C99" t="s">
        <v>74</v>
      </c>
      <c r="D99">
        <v>10</v>
      </c>
      <c r="E99" t="s">
        <v>213</v>
      </c>
      <c r="F99" s="1">
        <v>0.161665271306554</v>
      </c>
      <c r="G99" s="1">
        <v>0.0660207878865649</v>
      </c>
      <c r="H99" s="1">
        <v>9348.59258010864</v>
      </c>
      <c r="I99" s="1">
        <v>0.00919285176526539</v>
      </c>
      <c r="J99" s="5">
        <v>-0.306473492033882</v>
      </c>
      <c r="K99" s="5">
        <v>-0.317076601196534</v>
      </c>
      <c r="L99" s="5">
        <v>0.0106031091626513</v>
      </c>
      <c r="M99" s="5">
        <v>-0.01137352</v>
      </c>
      <c r="N99" s="1">
        <v>0.8</v>
      </c>
      <c r="O99" s="1">
        <v>1</v>
      </c>
      <c r="P99" s="1">
        <v>0.9</v>
      </c>
      <c r="Q99" s="5">
        <v>0.0112776379420114</v>
      </c>
      <c r="R99" s="5">
        <f t="shared" si="2"/>
        <v>-0.00345629708198203</v>
      </c>
      <c r="S99" s="5">
        <f t="shared" si="3"/>
        <v>-0.00357587510817804</v>
      </c>
    </row>
    <row r="100" spans="1:19" x14ac:dyDescent="0.25">
      <c r="A100">
        <v>64186</v>
      </c>
      <c r="B100" t="s">
        <v>189</v>
      </c>
      <c r="C100" t="s">
        <v>190</v>
      </c>
      <c r="D100">
        <v>10</v>
      </c>
      <c r="E100" t="s">
        <v>213</v>
      </c>
      <c r="F100" s="1">
        <v>0.120847791171868</v>
      </c>
      <c r="G100" s="1">
        <v>0.0691111788529373</v>
      </c>
      <c r="H100" s="1">
        <v>83607.7774743347</v>
      </c>
      <c r="I100" s="1">
        <v>0.087744045538523</v>
      </c>
      <c r="J100" s="5">
        <v>-0.0625347925502358</v>
      </c>
      <c r="K100" s="5">
        <v>-0.073137901712887</v>
      </c>
      <c r="L100" s="5">
        <v>0.0106031091626513</v>
      </c>
      <c r="M100" s="5">
        <v>-0.01137352</v>
      </c>
      <c r="N100" s="1">
        <v>0.8</v>
      </c>
      <c r="O100" s="1">
        <v>1</v>
      </c>
      <c r="P100" s="1">
        <v>0.9</v>
      </c>
      <c r="Q100" s="5">
        <v>0.100859913982993</v>
      </c>
      <c r="R100" s="5">
        <f t="shared" si="2"/>
        <v>-0.00630725379756107</v>
      </c>
      <c r="S100" s="5">
        <f t="shared" si="3"/>
        <v>-0.00737668247565836</v>
      </c>
    </row>
    <row r="101" spans="1:19" x14ac:dyDescent="0.25">
      <c r="A101">
        <v>17688</v>
      </c>
      <c r="B101" t="s">
        <v>204</v>
      </c>
      <c r="C101" t="s">
        <v>205</v>
      </c>
      <c r="D101">
        <v>10</v>
      </c>
      <c r="E101" t="s">
        <v>213</v>
      </c>
      <c r="F101" s="1">
        <v>0.00112569023281223</v>
      </c>
      <c r="G101" s="1">
        <v>0.00215252152521525</v>
      </c>
      <c r="H101" s="1">
        <v>937.787742401123</v>
      </c>
      <c r="I101" s="1">
        <v>0.293110226126788</v>
      </c>
      <c r="J101" s="5">
        <v>0.0656624405132189</v>
      </c>
      <c r="K101" s="5">
        <v>0.0550593313505676</v>
      </c>
      <c r="L101" s="5">
        <v>0.0106031091626513</v>
      </c>
      <c r="M101" s="5">
        <v>-0.01137352</v>
      </c>
      <c r="N101" s="1">
        <v>1</v>
      </c>
      <c r="O101" s="1">
        <v>0.6</v>
      </c>
      <c r="P101" s="1">
        <v>0.8</v>
      </c>
      <c r="Q101" s="5">
        <v>0.00113129655984358</v>
      </c>
      <c r="R101" s="5">
        <f t="shared" si="2"/>
        <v>0.0000742836930635381</v>
      </c>
      <c r="S101" s="5">
        <f t="shared" si="3"/>
        <v>0.0000622884321441847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3.5" outlineLevelRow="0" outlineLevelCol="0" x14ac:dyDescent="0" defaultColWidth="9" customHeight="1"/>
  <cols>
    <col min="1" max="1" width="22.7083333333333" customWidth="1"/>
    <col min="2" max="2" width="10.7083333333333" customWidth="1"/>
    <col min="3" max="3" width="30.7083333333333" customWidth="1"/>
    <col min="4" max="4" width="10.7083333333333" customWidth="1"/>
    <col min="5" max="9" width="15.7083333333333" style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</row>
    <row r="2" spans="1:23" x14ac:dyDescent="0.25">
      <c r="A2">
        <v>64390</v>
      </c>
      <c r="B2" t="s">
        <v>16</v>
      </c>
      <c r="C2" t="s">
        <v>17</v>
      </c>
      <c r="D2">
        <v>1</v>
      </c>
      <c r="E2" s="1">
        <v>0.0710900473933649</v>
      </c>
      <c r="F2" s="1">
        <v>0.210315496530663</v>
      </c>
      <c r="G2" s="1">
        <v>0.8</v>
      </c>
      <c r="H2" s="1">
        <v>1</v>
      </c>
      <c r="I2" s="1">
        <v>0.9</v>
      </c>
      <c r="J2" t="s">
        <v>18</v>
      </c>
      <c r="K2" s="3">
        <v>15313.0080459595</v>
      </c>
      <c r="L2" s="4">
        <v>0.101686383085829</v>
      </c>
      <c r="M2" s="4">
        <v>0.0450328695615383</v>
      </c>
      <c r="N2" s="4">
        <v>0.193941552712278</v>
      </c>
      <c r="O2" s="4">
        <v>-0.14890868315074</v>
      </c>
      <c r="P2" s="4">
        <v>0.00338664</v>
      </c>
      <c r="Q2" t="s">
        <v>18</v>
      </c>
      <c r="R2" s="3">
        <v>15313.0080459595</v>
      </c>
      <c r="S2" s="4">
        <v>0.101686383085829</v>
      </c>
      <c r="T2" s="4">
        <v>0.0450328695615383</v>
      </c>
      <c r="U2" s="4">
        <v>0.193941552712278</v>
      </c>
      <c r="V2" s="4">
        <v>-0.14890868315074</v>
      </c>
      <c r="W2" s="4">
        <v>0.00338664</v>
      </c>
    </row>
    <row r="3" spans="1:23" x14ac:dyDescent="0.25">
      <c r="A3">
        <v>82292</v>
      </c>
      <c r="B3" t="s">
        <v>19</v>
      </c>
      <c r="C3" t="s">
        <v>20</v>
      </c>
      <c r="D3">
        <v>1</v>
      </c>
      <c r="E3" s="1">
        <v>0.0265875064532783</v>
      </c>
      <c r="F3" s="1">
        <v>0.0543782251454122</v>
      </c>
      <c r="G3" s="1">
        <v>1</v>
      </c>
      <c r="H3" s="1">
        <v>0.8</v>
      </c>
      <c r="I3" s="1">
        <v>0.9</v>
      </c>
      <c r="J3" t="s">
        <v>18</v>
      </c>
      <c r="K3" s="3">
        <v>2153.5071734314</v>
      </c>
      <c r="L3" s="4">
        <v>0.167641672601485</v>
      </c>
      <c r="M3" s="4">
        <v>0.225582101809277</v>
      </c>
      <c r="N3" s="4">
        <v>0.193941552712278</v>
      </c>
      <c r="O3" s="4">
        <v>0.0316405490969986</v>
      </c>
      <c r="P3" s="4">
        <v>0.00338664</v>
      </c>
      <c r="Q3" t="s">
        <v>18</v>
      </c>
      <c r="R3" s="3">
        <v>2153.5071734314</v>
      </c>
      <c r="S3" s="4">
        <v>0.167641672601485</v>
      </c>
      <c r="T3" s="4">
        <v>0.225582101809277</v>
      </c>
      <c r="U3" s="4">
        <v>0.193941552712278</v>
      </c>
      <c r="V3" s="4">
        <v>0.0316405490969986</v>
      </c>
      <c r="W3" s="4">
        <v>0.00338664</v>
      </c>
    </row>
    <row r="4" spans="1:23" x14ac:dyDescent="0.25">
      <c r="A4">
        <v>89258</v>
      </c>
      <c r="B4" t="s">
        <v>21</v>
      </c>
      <c r="C4" t="s">
        <v>22</v>
      </c>
      <c r="D4">
        <v>1</v>
      </c>
      <c r="E4" s="1">
        <v>0.0170635664729046</v>
      </c>
      <c r="F4" s="1">
        <v>0.0715565559493029</v>
      </c>
      <c r="G4" s="1">
        <v>1</v>
      </c>
      <c r="H4" s="1">
        <v>0.8</v>
      </c>
      <c r="I4" s="1">
        <v>0.9</v>
      </c>
      <c r="J4" t="s">
        <v>18</v>
      </c>
      <c r="K4" s="3">
        <v>33885.9194335937</v>
      </c>
      <c r="L4" s="4">
        <v>0.729851537645811</v>
      </c>
      <c r="M4" s="4">
        <v>0.220126864532157</v>
      </c>
      <c r="N4" s="4">
        <v>0.193941552712278</v>
      </c>
      <c r="O4" s="4">
        <v>0.0261853118198787</v>
      </c>
      <c r="P4" s="4">
        <v>0.00338664</v>
      </c>
      <c r="Q4" t="s">
        <v>18</v>
      </c>
      <c r="R4" s="3">
        <v>33885.9194335937</v>
      </c>
      <c r="S4" s="4">
        <v>0.729851537645811</v>
      </c>
      <c r="T4" s="4">
        <v>0.220126864532157</v>
      </c>
      <c r="U4" s="4">
        <v>0.193941552712278</v>
      </c>
      <c r="V4" s="4">
        <v>0.0261853118198787</v>
      </c>
      <c r="W4" s="4">
        <v>0.00338664</v>
      </c>
    </row>
    <row r="5" spans="1:23" x14ac:dyDescent="0.25">
      <c r="A5">
        <v>23473</v>
      </c>
      <c r="B5" t="s">
        <v>23</v>
      </c>
      <c r="C5" t="s">
        <v>24</v>
      </c>
      <c r="D5">
        <v>1</v>
      </c>
      <c r="E5" s="1">
        <v>0.0661389172625128</v>
      </c>
      <c r="F5" s="1">
        <v>0.0610304937013043</v>
      </c>
      <c r="G5" s="1">
        <v>0.8</v>
      </c>
      <c r="H5" s="1">
        <v>0.8</v>
      </c>
      <c r="I5" s="1">
        <v>0.8</v>
      </c>
      <c r="J5" t="s">
        <v>18</v>
      </c>
      <c r="K5" s="3">
        <v>7513.52194039917</v>
      </c>
      <c r="L5" s="4">
        <v>0.0809886931369971</v>
      </c>
      <c r="M5" s="4">
        <v>0.0720404130736019</v>
      </c>
      <c r="N5" s="4">
        <v>0.193941552712278</v>
      </c>
      <c r="O5" s="4">
        <v>-0.121901139638676</v>
      </c>
      <c r="P5" s="4">
        <v>0.00338664</v>
      </c>
      <c r="Q5" t="s">
        <v>18</v>
      </c>
      <c r="R5" s="3">
        <v>7513.52194039917</v>
      </c>
      <c r="S5" s="4">
        <v>0.0809886931369971</v>
      </c>
      <c r="T5" s="4">
        <v>0.0720404130736019</v>
      </c>
      <c r="U5" s="4">
        <v>0.193941552712278</v>
      </c>
      <c r="V5" s="4">
        <v>-0.121901139638676</v>
      </c>
      <c r="W5" s="4">
        <v>0.00338664</v>
      </c>
    </row>
    <row r="6" spans="1:23" x14ac:dyDescent="0.25">
      <c r="A6">
        <v>38093</v>
      </c>
      <c r="B6" t="s">
        <v>25</v>
      </c>
      <c r="C6" t="s">
        <v>26</v>
      </c>
      <c r="D6">
        <v>1</v>
      </c>
      <c r="E6" s="1">
        <v>0.0464646464646465</v>
      </c>
      <c r="F6" s="1">
        <v>-0.00162956351171128</v>
      </c>
      <c r="G6" s="1">
        <v>1</v>
      </c>
      <c r="H6" s="1">
        <v>0.6</v>
      </c>
      <c r="I6" s="1">
        <v>0.8</v>
      </c>
      <c r="J6" t="s">
        <v>18</v>
      </c>
      <c r="K6" s="3">
        <v>5537.88208592987</v>
      </c>
      <c r="L6" s="4">
        <v>0.180254896448318</v>
      </c>
      <c r="M6" s="4">
        <v>0.0743024680711855</v>
      </c>
      <c r="N6" s="4">
        <v>0.193941552712278</v>
      </c>
      <c r="O6" s="4">
        <v>-0.119639084641093</v>
      </c>
      <c r="P6" s="4">
        <v>0.00338664</v>
      </c>
      <c r="Q6" t="s">
        <v>18</v>
      </c>
      <c r="R6" s="3">
        <v>5537.88208592987</v>
      </c>
      <c r="S6" s="4">
        <v>0.180254896448318</v>
      </c>
      <c r="T6" s="4">
        <v>0.0743024680711855</v>
      </c>
      <c r="U6" s="4">
        <v>0.193941552712278</v>
      </c>
      <c r="V6" s="4">
        <v>-0.119639084641093</v>
      </c>
      <c r="W6" s="4">
        <v>0.00338664</v>
      </c>
    </row>
    <row r="7" spans="1:23" x14ac:dyDescent="0.25">
      <c r="A7">
        <v>45751</v>
      </c>
      <c r="B7" t="s">
        <v>27</v>
      </c>
      <c r="C7" t="s">
        <v>28</v>
      </c>
      <c r="D7">
        <v>1</v>
      </c>
      <c r="E7" s="1">
        <v>0.0626631853785901</v>
      </c>
      <c r="F7" s="1">
        <v>0.0297367960886299</v>
      </c>
      <c r="G7" s="1">
        <v>0.8</v>
      </c>
      <c r="H7" s="1">
        <v>0.8</v>
      </c>
      <c r="I7" s="1">
        <v>0.8</v>
      </c>
      <c r="J7" t="s">
        <v>18</v>
      </c>
      <c r="K7" s="3">
        <v>21973.8033121033</v>
      </c>
      <c r="L7" s="4">
        <v>0.034530626409856</v>
      </c>
      <c r="M7" s="4">
        <v>0.28394509561096</v>
      </c>
      <c r="N7" s="4">
        <v>0.193941552712278</v>
      </c>
      <c r="O7" s="4">
        <v>0.0900035428986818</v>
      </c>
      <c r="P7" s="4">
        <v>0.00338664</v>
      </c>
      <c r="Q7" t="s">
        <v>18</v>
      </c>
      <c r="R7" s="3">
        <v>21973.8033121033</v>
      </c>
      <c r="S7" s="4">
        <v>0.034530626409856</v>
      </c>
      <c r="T7" s="4">
        <v>0.28394509561096</v>
      </c>
      <c r="U7" s="4">
        <v>0.193941552712278</v>
      </c>
      <c r="V7" s="4">
        <v>0.0900035428986818</v>
      </c>
      <c r="W7" s="4">
        <v>0.00338664</v>
      </c>
    </row>
    <row r="8" spans="1:23" x14ac:dyDescent="0.25">
      <c r="A8">
        <v>52936</v>
      </c>
      <c r="B8" t="s">
        <v>29</v>
      </c>
      <c r="C8" t="s">
        <v>30</v>
      </c>
      <c r="D8">
        <v>1</v>
      </c>
      <c r="E8" s="1">
        <v>0.053665910808768</v>
      </c>
      <c r="F8" s="1">
        <v>0.0334934719249235</v>
      </c>
      <c r="G8" s="1">
        <v>0.8</v>
      </c>
      <c r="H8" s="1">
        <v>0.8</v>
      </c>
      <c r="I8" s="1">
        <v>0.8</v>
      </c>
      <c r="J8" t="s">
        <v>18</v>
      </c>
      <c r="K8" s="3">
        <v>2414.59086971283</v>
      </c>
      <c r="L8" s="4">
        <v>0.00219098868139209</v>
      </c>
      <c r="M8" s="4">
        <v>0.109438778119242</v>
      </c>
      <c r="N8" s="4">
        <v>0.193941552712278</v>
      </c>
      <c r="O8" s="4">
        <v>-0.0845027745930367</v>
      </c>
      <c r="P8" s="4">
        <v>0.00338664</v>
      </c>
      <c r="Q8" t="s">
        <v>18</v>
      </c>
      <c r="R8" s="3">
        <v>2414.59086971283</v>
      </c>
      <c r="S8" s="4">
        <v>0.00219098868139209</v>
      </c>
      <c r="T8" s="4">
        <v>0.109438778119242</v>
      </c>
      <c r="U8" s="4">
        <v>0.193941552712278</v>
      </c>
      <c r="V8" s="4">
        <v>-0.0845027745930367</v>
      </c>
      <c r="W8" s="4">
        <v>0.00338664</v>
      </c>
    </row>
    <row r="9" spans="1:23" x14ac:dyDescent="0.25">
      <c r="A9">
        <v>59192</v>
      </c>
      <c r="B9" t="s">
        <v>31</v>
      </c>
      <c r="C9" t="s">
        <v>32</v>
      </c>
      <c r="D9">
        <v>1</v>
      </c>
      <c r="E9" s="1">
        <v>0.0760754115772703</v>
      </c>
      <c r="F9" s="1">
        <v>0.113914183803649</v>
      </c>
      <c r="G9" s="1">
        <v>0.6</v>
      </c>
      <c r="H9" s="1">
        <v>1</v>
      </c>
      <c r="I9" s="1">
        <v>0.8</v>
      </c>
      <c r="J9" t="s">
        <v>18</v>
      </c>
      <c r="K9" s="3">
        <v>21938.9948454666</v>
      </c>
      <c r="L9" s="4">
        <v>0.000812047836999852</v>
      </c>
      <c r="M9" s="4">
        <v>0.0855734507705745</v>
      </c>
      <c r="N9" s="4">
        <v>0.193941552712278</v>
      </c>
      <c r="O9" s="4">
        <v>-0.108368101941704</v>
      </c>
      <c r="P9" s="4">
        <v>0.00338664</v>
      </c>
      <c r="Q9" t="s">
        <v>18</v>
      </c>
      <c r="R9" s="3">
        <v>21938.9948454666</v>
      </c>
      <c r="S9" s="4">
        <v>0.000812047836999852</v>
      </c>
      <c r="T9" s="4">
        <v>0.0855734507705745</v>
      </c>
      <c r="U9" s="4">
        <v>0.193941552712278</v>
      </c>
      <c r="V9" s="4">
        <v>-0.108368101941704</v>
      </c>
      <c r="W9" s="4">
        <v>0.00338664</v>
      </c>
    </row>
    <row r="10" spans="1:23" x14ac:dyDescent="0.25">
      <c r="A10">
        <v>76697</v>
      </c>
      <c r="B10" t="s">
        <v>33</v>
      </c>
      <c r="C10" t="s">
        <v>34</v>
      </c>
      <c r="D10">
        <v>1</v>
      </c>
      <c r="E10" s="1">
        <v>0.0127572016460905</v>
      </c>
      <c r="F10" s="1">
        <v>-0.0255884015780246</v>
      </c>
      <c r="G10" s="1">
        <v>1</v>
      </c>
      <c r="H10" s="1">
        <v>0.6</v>
      </c>
      <c r="I10" s="1">
        <v>0.8</v>
      </c>
      <c r="J10" t="s">
        <v>18</v>
      </c>
      <c r="K10" s="3">
        <v>2524.75787578583</v>
      </c>
      <c r="L10" s="4">
        <v>-0.0548200173497501</v>
      </c>
      <c r="M10" s="4">
        <v>0.254471232136058</v>
      </c>
      <c r="N10" s="4">
        <v>0.193941552712278</v>
      </c>
      <c r="O10" s="4">
        <v>0.0605296794237797</v>
      </c>
      <c r="P10" s="4">
        <v>0.00338664</v>
      </c>
      <c r="Q10" t="s">
        <v>18</v>
      </c>
      <c r="R10" s="3">
        <v>2524.75787578583</v>
      </c>
      <c r="S10" s="4">
        <v>-0.0548200173497501</v>
      </c>
      <c r="T10" s="4">
        <v>0.254471232136058</v>
      </c>
      <c r="U10" s="4">
        <v>0.193941552712278</v>
      </c>
      <c r="V10" s="4">
        <v>0.0605296794237797</v>
      </c>
      <c r="W10" s="4">
        <v>0.00338664</v>
      </c>
    </row>
    <row r="11" spans="1:23" x14ac:dyDescent="0.25">
      <c r="A11">
        <v>87666</v>
      </c>
      <c r="B11" t="s">
        <v>35</v>
      </c>
      <c r="C11" t="s">
        <v>36</v>
      </c>
      <c r="D11">
        <v>1</v>
      </c>
      <c r="E11" s="1">
        <v>0.0879787637466818</v>
      </c>
      <c r="F11" s="1">
        <v>0.156169500696294</v>
      </c>
      <c r="G11" s="1">
        <v>0.6</v>
      </c>
      <c r="H11" s="1">
        <v>1</v>
      </c>
      <c r="I11" s="1">
        <v>0.8</v>
      </c>
      <c r="J11" t="s">
        <v>18</v>
      </c>
      <c r="K11" s="3">
        <v>17860.8605060577</v>
      </c>
      <c r="L11" s="4">
        <v>-0.21835963547455</v>
      </c>
      <c r="M11" s="4">
        <v>0.203643104553844</v>
      </c>
      <c r="N11" s="4">
        <v>0.193941552712278</v>
      </c>
      <c r="O11" s="4">
        <v>0.00970155184156529</v>
      </c>
      <c r="P11" s="4">
        <v>0.00338664</v>
      </c>
      <c r="Q11" t="s">
        <v>18</v>
      </c>
      <c r="R11" s="3">
        <v>17860.8605060577</v>
      </c>
      <c r="S11" s="4">
        <v>-0.21835963547455</v>
      </c>
      <c r="T11" s="4">
        <v>0.203643104553844</v>
      </c>
      <c r="U11" s="4">
        <v>0.193941552712278</v>
      </c>
      <c r="V11" s="4">
        <v>0.00970155184156529</v>
      </c>
      <c r="W11" s="4">
        <v>0.00338664</v>
      </c>
    </row>
    <row r="12" spans="1:23" x14ac:dyDescent="0.25">
      <c r="A12">
        <v>93089</v>
      </c>
      <c r="B12" t="s">
        <v>37</v>
      </c>
      <c r="C12" t="s">
        <v>38</v>
      </c>
      <c r="D12">
        <v>1</v>
      </c>
      <c r="E12" s="1">
        <v>0.038846380223661</v>
      </c>
      <c r="F12" s="1">
        <v>-0.00670719120504493</v>
      </c>
      <c r="G12" s="1">
        <v>1</v>
      </c>
      <c r="H12" s="1">
        <v>0.6</v>
      </c>
      <c r="I12" s="1">
        <v>0.8</v>
      </c>
      <c r="J12" t="s">
        <v>18</v>
      </c>
      <c r="K12" s="3">
        <v>10007.4514278908</v>
      </c>
      <c r="L12" s="4">
        <v>0.152030273906776</v>
      </c>
      <c r="M12" s="4">
        <v>0.00629035758231189</v>
      </c>
      <c r="N12" s="4">
        <v>0.193941552712278</v>
      </c>
      <c r="O12" s="4">
        <v>-0.187651195129966</v>
      </c>
      <c r="P12" s="4">
        <v>0.00338664</v>
      </c>
      <c r="Q12" t="s">
        <v>18</v>
      </c>
      <c r="R12" s="3">
        <v>10007.4514278908</v>
      </c>
      <c r="S12" s="4">
        <v>0.152030273906776</v>
      </c>
      <c r="T12" s="4">
        <v>0.00629035758231189</v>
      </c>
      <c r="U12" s="4">
        <v>0.193941552712278</v>
      </c>
      <c r="V12" s="4">
        <v>-0.187651195129966</v>
      </c>
      <c r="W12" s="4">
        <v>0.00338664</v>
      </c>
    </row>
    <row r="13" spans="1:23" x14ac:dyDescent="0.25">
      <c r="A13">
        <v>48653</v>
      </c>
      <c r="B13" t="s">
        <v>39</v>
      </c>
      <c r="C13" t="s">
        <v>40</v>
      </c>
      <c r="D13">
        <v>1</v>
      </c>
      <c r="E13" s="1">
        <v>0.110155908494827</v>
      </c>
      <c r="F13" s="1">
        <v>0.209175000815361</v>
      </c>
      <c r="G13" s="1">
        <v>0.4</v>
      </c>
      <c r="H13" s="1">
        <v>1</v>
      </c>
      <c r="I13" s="1">
        <v>0.7</v>
      </c>
      <c r="J13" t="s">
        <v>18</v>
      </c>
      <c r="K13" s="3">
        <v>13290.0183274078</v>
      </c>
      <c r="L13" s="4">
        <v>0.0622827975673328</v>
      </c>
      <c r="M13" s="4">
        <v>0.557907034591648</v>
      </c>
      <c r="N13" s="4">
        <v>0.193941552712278</v>
      </c>
      <c r="O13" s="4">
        <v>0.36396548187937</v>
      </c>
      <c r="P13" s="4">
        <v>0.00338664</v>
      </c>
      <c r="Q13" t="s">
        <v>18</v>
      </c>
      <c r="R13" s="3">
        <v>13290.0183274078</v>
      </c>
      <c r="S13" s="4">
        <v>0.0622827975673328</v>
      </c>
      <c r="T13" s="4">
        <v>0.557907034591648</v>
      </c>
      <c r="U13" s="4">
        <v>0.193941552712278</v>
      </c>
      <c r="V13" s="4">
        <v>0.36396548187937</v>
      </c>
      <c r="W13" s="4">
        <v>0.00338664</v>
      </c>
    </row>
    <row r="14" spans="1:23" x14ac:dyDescent="0.25">
      <c r="A14">
        <v>57904</v>
      </c>
      <c r="B14" t="s">
        <v>41</v>
      </c>
      <c r="C14" t="s">
        <v>42</v>
      </c>
      <c r="D14">
        <v>1</v>
      </c>
      <c r="E14" s="1">
        <v>0.11558734939759</v>
      </c>
      <c r="F14" s="1">
        <v>0.160540052147175</v>
      </c>
      <c r="G14" s="1">
        <v>0.4</v>
      </c>
      <c r="H14" s="1">
        <v>1</v>
      </c>
      <c r="I14" s="1">
        <v>0.7</v>
      </c>
      <c r="J14" t="s">
        <v>18</v>
      </c>
      <c r="K14" s="3">
        <v>27097.0546220169</v>
      </c>
      <c r="L14" s="4">
        <v>0.144016959090704</v>
      </c>
      <c r="M14" s="4">
        <v>0.125487404932847</v>
      </c>
      <c r="N14" s="4">
        <v>0.193941552712278</v>
      </c>
      <c r="O14" s="4">
        <v>-0.0684541477794316</v>
      </c>
      <c r="P14" s="4">
        <v>0.00338664</v>
      </c>
      <c r="Q14" t="s">
        <v>18</v>
      </c>
      <c r="R14" s="3">
        <v>27097.0546220169</v>
      </c>
      <c r="S14" s="4">
        <v>0.144016959090704</v>
      </c>
      <c r="T14" s="4">
        <v>0.125487404932847</v>
      </c>
      <c r="U14" s="4">
        <v>0.193941552712278</v>
      </c>
      <c r="V14" s="4">
        <v>-0.0684541477794316</v>
      </c>
      <c r="W14" s="4">
        <v>0.00338664</v>
      </c>
    </row>
    <row r="15" spans="1:23" x14ac:dyDescent="0.25">
      <c r="A15">
        <v>63467</v>
      </c>
      <c r="B15" t="s">
        <v>43</v>
      </c>
      <c r="C15" t="s">
        <v>44</v>
      </c>
      <c r="D15">
        <v>1</v>
      </c>
      <c r="E15" s="1">
        <v>0.0502749410840534</v>
      </c>
      <c r="F15" s="1">
        <v>0.0099661743478251</v>
      </c>
      <c r="G15" s="1">
        <v>0.8</v>
      </c>
      <c r="H15" s="1">
        <v>0.6</v>
      </c>
      <c r="I15" s="1">
        <v>0.7</v>
      </c>
      <c r="J15" t="s">
        <v>18</v>
      </c>
      <c r="K15" s="3">
        <v>4643.59192175293</v>
      </c>
      <c r="L15" s="4">
        <v>0.181962416102078</v>
      </c>
      <c r="M15" s="4">
        <v>-0.0525590488446406</v>
      </c>
      <c r="N15" s="4">
        <v>0.193941552712278</v>
      </c>
      <c r="O15" s="4">
        <v>-0.246500601556919</v>
      </c>
      <c r="P15" s="4">
        <v>0.00338664</v>
      </c>
      <c r="Q15" t="s">
        <v>18</v>
      </c>
      <c r="R15" s="3">
        <v>4643.59192175293</v>
      </c>
      <c r="S15" s="4">
        <v>0.181962416102078</v>
      </c>
      <c r="T15" s="4">
        <v>-0.0525590488446406</v>
      </c>
      <c r="U15" s="4">
        <v>0.193941552712278</v>
      </c>
      <c r="V15" s="4">
        <v>-0.246500601556919</v>
      </c>
      <c r="W15" s="4">
        <v>0.00338664</v>
      </c>
    </row>
    <row r="16" spans="1:23" x14ac:dyDescent="0.25">
      <c r="A16">
        <v>79323</v>
      </c>
      <c r="B16" t="s">
        <v>45</v>
      </c>
      <c r="C16" t="s">
        <v>46</v>
      </c>
      <c r="D16">
        <v>1</v>
      </c>
      <c r="E16" s="1">
        <v>0.117251680358476</v>
      </c>
      <c r="F16" s="1">
        <v>0.303418340453661</v>
      </c>
      <c r="G16" s="1">
        <v>0.4</v>
      </c>
      <c r="H16" s="1">
        <v>1</v>
      </c>
      <c r="I16" s="1">
        <v>0.7</v>
      </c>
      <c r="J16" t="s">
        <v>18</v>
      </c>
      <c r="K16" s="3">
        <v>22551.1487794342</v>
      </c>
      <c r="L16" s="4">
        <v>0.0179412217264194</v>
      </c>
      <c r="M16" s="4">
        <v>0.231789784700063</v>
      </c>
      <c r="N16" s="4">
        <v>0.193941552712278</v>
      </c>
      <c r="O16" s="4">
        <v>0.0378482319877851</v>
      </c>
      <c r="P16" s="4">
        <v>0.00338664</v>
      </c>
      <c r="Q16" t="s">
        <v>18</v>
      </c>
      <c r="R16" s="3">
        <v>22551.1487794342</v>
      </c>
      <c r="S16" s="4">
        <v>0.0179412217264194</v>
      </c>
      <c r="T16" s="4">
        <v>0.231789784700063</v>
      </c>
      <c r="U16" s="4">
        <v>0.193941552712278</v>
      </c>
      <c r="V16" s="4">
        <v>0.0378482319877851</v>
      </c>
      <c r="W16" s="4">
        <v>0.00338664</v>
      </c>
    </row>
    <row r="17" spans="1:23" x14ac:dyDescent="0.25">
      <c r="A17">
        <v>82486</v>
      </c>
      <c r="B17" t="s">
        <v>47</v>
      </c>
      <c r="C17" t="s">
        <v>48</v>
      </c>
      <c r="D17">
        <v>1</v>
      </c>
      <c r="E17" s="1">
        <v>0.0431956082057209</v>
      </c>
      <c r="F17" s="1">
        <v>-0.0313662157197236</v>
      </c>
      <c r="G17" s="1">
        <v>1</v>
      </c>
      <c r="H17" s="1">
        <v>0.4</v>
      </c>
      <c r="I17" s="1">
        <v>0.7</v>
      </c>
      <c r="J17" t="s">
        <v>18</v>
      </c>
      <c r="K17" s="3">
        <v>3719.61055395508</v>
      </c>
      <c r="L17" s="4">
        <v>0.151016042780749</v>
      </c>
      <c r="M17" s="4">
        <v>0.031505355683054</v>
      </c>
      <c r="N17" s="4">
        <v>0.193941552712278</v>
      </c>
      <c r="O17" s="4">
        <v>-0.162436197029224</v>
      </c>
      <c r="P17" s="4">
        <v>0.00338664</v>
      </c>
      <c r="Q17" t="s">
        <v>18</v>
      </c>
      <c r="R17" s="3">
        <v>3719.61055395508</v>
      </c>
      <c r="S17" s="4">
        <v>0.151016042780749</v>
      </c>
      <c r="T17" s="4">
        <v>0.031505355683054</v>
      </c>
      <c r="U17" s="4">
        <v>0.193941552712278</v>
      </c>
      <c r="V17" s="4">
        <v>-0.162436197029224</v>
      </c>
      <c r="W17" s="4">
        <v>0.00338664</v>
      </c>
    </row>
    <row r="18" spans="1:23" x14ac:dyDescent="0.25">
      <c r="A18">
        <v>87212</v>
      </c>
      <c r="B18" t="s">
        <v>49</v>
      </c>
      <c r="C18" t="s">
        <v>50</v>
      </c>
      <c r="D18">
        <v>1</v>
      </c>
      <c r="E18" s="1">
        <v>0.0666173205033309</v>
      </c>
      <c r="F18" s="1">
        <v>0.0190339058543725</v>
      </c>
      <c r="G18" s="1">
        <v>0.8</v>
      </c>
      <c r="H18" s="1">
        <v>0.6</v>
      </c>
      <c r="I18" s="1">
        <v>0.7</v>
      </c>
      <c r="J18" t="s">
        <v>18</v>
      </c>
      <c r="K18" s="3">
        <v>29364.6608390808</v>
      </c>
      <c r="L18" s="4">
        <v>-0.419452887537994</v>
      </c>
      <c r="M18" s="4">
        <v>0.190195118996185</v>
      </c>
      <c r="N18" s="4">
        <v>0.193941552712278</v>
      </c>
      <c r="O18" s="4">
        <v>-0.00374643371609307</v>
      </c>
      <c r="P18" s="4">
        <v>0.00338664</v>
      </c>
      <c r="Q18" t="s">
        <v>18</v>
      </c>
      <c r="R18" s="3">
        <v>29364.6608390808</v>
      </c>
      <c r="S18" s="4">
        <v>-0.419452887537994</v>
      </c>
      <c r="T18" s="4">
        <v>0.190195118996185</v>
      </c>
      <c r="U18" s="4">
        <v>0.193941552712278</v>
      </c>
      <c r="V18" s="4">
        <v>-0.00374643371609307</v>
      </c>
      <c r="W18" s="4">
        <v>0.00338664</v>
      </c>
    </row>
    <row r="19" spans="1:23" x14ac:dyDescent="0.25">
      <c r="A19">
        <v>87842</v>
      </c>
      <c r="B19" t="s">
        <v>51</v>
      </c>
      <c r="C19" t="s">
        <v>52</v>
      </c>
      <c r="D19">
        <v>1</v>
      </c>
      <c r="E19" s="1">
        <v>0.0327868852459016</v>
      </c>
      <c r="F19" s="1">
        <v>-0.0286684651813011</v>
      </c>
      <c r="G19" s="1">
        <v>1</v>
      </c>
      <c r="H19" s="1">
        <v>0.4</v>
      </c>
      <c r="I19" s="1">
        <v>0.7</v>
      </c>
      <c r="J19" t="s">
        <v>18</v>
      </c>
      <c r="K19" s="3">
        <v>50107.793042057</v>
      </c>
      <c r="L19" s="4">
        <v>-0.0279530081879672</v>
      </c>
      <c r="M19" s="4">
        <v>0.179338659093989</v>
      </c>
      <c r="N19" s="4">
        <v>0.193941552712278</v>
      </c>
      <c r="O19" s="4">
        <v>-0.0146028936182894</v>
      </c>
      <c r="P19" s="4">
        <v>0.00338664</v>
      </c>
      <c r="Q19" t="s">
        <v>18</v>
      </c>
      <c r="R19" s="3">
        <v>50107.793042057</v>
      </c>
      <c r="S19" s="4">
        <v>-0.0279530081879672</v>
      </c>
      <c r="T19" s="4">
        <v>0.179338659093989</v>
      </c>
      <c r="U19" s="4">
        <v>0.193941552712278</v>
      </c>
      <c r="V19" s="4">
        <v>-0.0146028936182894</v>
      </c>
      <c r="W19" s="4">
        <v>0.00338664</v>
      </c>
    </row>
    <row r="20" spans="1:23" x14ac:dyDescent="0.25">
      <c r="A20">
        <v>88845</v>
      </c>
      <c r="B20" t="s">
        <v>53</v>
      </c>
      <c r="C20" t="s">
        <v>54</v>
      </c>
      <c r="D20">
        <v>1</v>
      </c>
      <c r="E20" s="1">
        <v>0.105160872381775</v>
      </c>
      <c r="F20" s="1">
        <v>0.17511936228189</v>
      </c>
      <c r="G20" s="1">
        <v>0.4</v>
      </c>
      <c r="H20" s="1">
        <v>1</v>
      </c>
      <c r="I20" s="1">
        <v>0.7</v>
      </c>
      <c r="J20" t="s">
        <v>18</v>
      </c>
      <c r="K20" s="3">
        <v>24033.7511862946</v>
      </c>
      <c r="L20" s="4">
        <v>0.0833663905647753</v>
      </c>
      <c r="M20" s="4">
        <v>0.300817760037677</v>
      </c>
      <c r="N20" s="4">
        <v>0.193941552712278</v>
      </c>
      <c r="O20" s="4">
        <v>0.106876207325399</v>
      </c>
      <c r="P20" s="4">
        <v>0.00338664</v>
      </c>
      <c r="Q20" t="s">
        <v>18</v>
      </c>
      <c r="R20" s="3">
        <v>24033.7511862946</v>
      </c>
      <c r="S20" s="4">
        <v>0.0833663905647753</v>
      </c>
      <c r="T20" s="4">
        <v>0.300817760037677</v>
      </c>
      <c r="U20" s="4">
        <v>0.193941552712278</v>
      </c>
      <c r="V20" s="4">
        <v>0.106876207325399</v>
      </c>
      <c r="W20" s="4">
        <v>0.00338664</v>
      </c>
    </row>
    <row r="21" spans="1:23" x14ac:dyDescent="0.25">
      <c r="A21">
        <v>90272</v>
      </c>
      <c r="B21" t="s">
        <v>55</v>
      </c>
      <c r="C21" t="s">
        <v>56</v>
      </c>
      <c r="D21">
        <v>1</v>
      </c>
      <c r="E21" s="1">
        <v>0.0881084411583487</v>
      </c>
      <c r="F21" s="1">
        <v>0.0959794951418153</v>
      </c>
      <c r="G21" s="1">
        <v>0.6</v>
      </c>
      <c r="H21" s="1">
        <v>0.8</v>
      </c>
      <c r="I21" s="1">
        <v>0.7</v>
      </c>
      <c r="J21" t="s">
        <v>18</v>
      </c>
      <c r="K21" s="3">
        <v>2414.36961684036</v>
      </c>
      <c r="L21" s="4">
        <v>0.213229432828743</v>
      </c>
      <c r="M21" s="4">
        <v>0.48542380558429</v>
      </c>
      <c r="N21" s="4">
        <v>0.193941552712278</v>
      </c>
      <c r="O21" s="4">
        <v>0.291482252872012</v>
      </c>
      <c r="P21" s="4">
        <v>0.00338664</v>
      </c>
      <c r="Q21" t="s">
        <v>18</v>
      </c>
      <c r="R21" s="3">
        <v>2414.36961684036</v>
      </c>
      <c r="S21" s="4">
        <v>0.213229432828743</v>
      </c>
      <c r="T21" s="4">
        <v>0.48542380558429</v>
      </c>
      <c r="U21" s="4">
        <v>0.193941552712278</v>
      </c>
      <c r="V21" s="4">
        <v>0.291482252872012</v>
      </c>
      <c r="W21" s="4">
        <v>0.00338664</v>
      </c>
    </row>
    <row r="22" spans="1:23" x14ac:dyDescent="0.25">
      <c r="A22">
        <v>10933</v>
      </c>
      <c r="B22" t="s">
        <v>57</v>
      </c>
      <c r="C22" t="s">
        <v>58</v>
      </c>
      <c r="D22">
        <v>1</v>
      </c>
      <c r="E22" s="1">
        <v>0.0598957131650593</v>
      </c>
      <c r="F22" s="1">
        <v>-0.049302445908432</v>
      </c>
      <c r="G22" s="1">
        <v>0.8</v>
      </c>
      <c r="H22" s="1">
        <v>0.4</v>
      </c>
      <c r="I22" s="1">
        <v>0.6</v>
      </c>
      <c r="J22" t="s">
        <v>18</v>
      </c>
      <c r="K22" s="3">
        <v>7260.31726818848</v>
      </c>
      <c r="L22" s="4">
        <v>0.141815555536962</v>
      </c>
      <c r="M22" s="4">
        <v>0.224387441418717</v>
      </c>
      <c r="N22" s="4">
        <v>0.193941552712278</v>
      </c>
      <c r="O22" s="4">
        <v>0.0304458887064385</v>
      </c>
      <c r="P22" s="4">
        <v>0.00338664</v>
      </c>
      <c r="Q22" t="s">
        <v>18</v>
      </c>
      <c r="R22" s="3">
        <v>7260.31726818848</v>
      </c>
      <c r="S22" s="4">
        <v>0.141815555536962</v>
      </c>
      <c r="T22" s="4">
        <v>0.224387441418717</v>
      </c>
      <c r="U22" s="4">
        <v>0.193941552712278</v>
      </c>
      <c r="V22" s="4">
        <v>0.0304458887064385</v>
      </c>
      <c r="W22" s="4">
        <v>0.00338664</v>
      </c>
    </row>
    <row r="23" spans="1:23" x14ac:dyDescent="0.25">
      <c r="A23">
        <v>76136</v>
      </c>
      <c r="B23" t="s">
        <v>59</v>
      </c>
      <c r="C23" t="s">
        <v>60</v>
      </c>
      <c r="D23">
        <v>1</v>
      </c>
      <c r="E23" s="1">
        <v>0.0525423728813559</v>
      </c>
      <c r="F23" s="1">
        <v>-0.078163162791045</v>
      </c>
      <c r="G23" s="1">
        <v>0.8</v>
      </c>
      <c r="H23" s="1">
        <v>0.4</v>
      </c>
      <c r="I23" s="1">
        <v>0.6</v>
      </c>
      <c r="J23" t="s">
        <v>18</v>
      </c>
      <c r="K23" s="3">
        <v>1987.90425</v>
      </c>
      <c r="L23" s="4">
        <v>-0.0130361310050696</v>
      </c>
      <c r="M23" s="4">
        <v>0.0511476006592591</v>
      </c>
      <c r="N23" s="4">
        <v>0.193941552712278</v>
      </c>
      <c r="O23" s="4">
        <v>-0.142793952053019</v>
      </c>
      <c r="P23" s="4">
        <v>0.00338664</v>
      </c>
      <c r="Q23" t="s">
        <v>18</v>
      </c>
      <c r="R23" s="3">
        <v>1987.90425</v>
      </c>
      <c r="S23" s="4">
        <v>-0.0130361310050696</v>
      </c>
      <c r="T23" s="4">
        <v>0.0511476006592591</v>
      </c>
      <c r="U23" s="4">
        <v>0.193941552712278</v>
      </c>
      <c r="V23" s="4">
        <v>-0.142793952053019</v>
      </c>
      <c r="W23" s="4">
        <v>0.00338664</v>
      </c>
    </row>
    <row r="24" spans="1:23" x14ac:dyDescent="0.25">
      <c r="A24">
        <v>26710</v>
      </c>
      <c r="B24" t="s">
        <v>61</v>
      </c>
      <c r="C24" t="s">
        <v>62</v>
      </c>
      <c r="D24">
        <v>1</v>
      </c>
      <c r="E24" s="1">
        <v>0.0353374233128834</v>
      </c>
      <c r="F24" s="1">
        <v>-0.172116858503131</v>
      </c>
      <c r="G24" s="1">
        <v>1</v>
      </c>
      <c r="H24" s="1">
        <v>0.2</v>
      </c>
      <c r="I24" s="1">
        <v>0.6</v>
      </c>
      <c r="J24" t="s">
        <v>18</v>
      </c>
      <c r="K24" s="3">
        <v>17270.0465935135</v>
      </c>
      <c r="L24" s="4">
        <v>0.0300842358604091</v>
      </c>
      <c r="M24" s="4">
        <v>-0.0534140547876542</v>
      </c>
      <c r="N24" s="4">
        <v>0.193941552712278</v>
      </c>
      <c r="O24" s="4">
        <v>-0.247355607499932</v>
      </c>
      <c r="P24" s="4">
        <v>0.00338664</v>
      </c>
      <c r="Q24" t="s">
        <v>18</v>
      </c>
      <c r="R24" s="3">
        <v>17270.0465935135</v>
      </c>
      <c r="S24" s="4">
        <v>0.0300842358604091</v>
      </c>
      <c r="T24" s="4">
        <v>-0.0534140547876542</v>
      </c>
      <c r="U24" s="4">
        <v>0.193941552712278</v>
      </c>
      <c r="V24" s="4">
        <v>-0.247355607499932</v>
      </c>
      <c r="W24" s="4">
        <v>0.00338664</v>
      </c>
    </row>
    <row r="25" spans="1:23" x14ac:dyDescent="0.25">
      <c r="A25">
        <v>59459</v>
      </c>
      <c r="B25" t="s">
        <v>63</v>
      </c>
      <c r="C25" t="s">
        <v>64</v>
      </c>
      <c r="D25">
        <v>1</v>
      </c>
      <c r="E25" s="1">
        <v>0.0884154831523253</v>
      </c>
      <c r="F25" s="1">
        <v>-0.00307659843189922</v>
      </c>
      <c r="G25" s="1">
        <v>0.6</v>
      </c>
      <c r="H25" s="1">
        <v>0.6</v>
      </c>
      <c r="I25" s="1">
        <v>0.6</v>
      </c>
      <c r="J25" t="s">
        <v>18</v>
      </c>
      <c r="K25" s="3">
        <v>30083.3258707581</v>
      </c>
      <c r="L25" s="4">
        <v>0.0115538788021693</v>
      </c>
      <c r="M25" s="4">
        <v>0.142743348170331</v>
      </c>
      <c r="N25" s="4">
        <v>0.193941552712278</v>
      </c>
      <c r="O25" s="4">
        <v>-0.051198204541947</v>
      </c>
      <c r="P25" s="4">
        <v>0.00338664</v>
      </c>
      <c r="Q25" t="s">
        <v>18</v>
      </c>
      <c r="R25" s="3">
        <v>30083.3258707581</v>
      </c>
      <c r="S25" s="4">
        <v>0.0115538788021693</v>
      </c>
      <c r="T25" s="4">
        <v>0.142743348170331</v>
      </c>
      <c r="U25" s="4">
        <v>0.193941552712278</v>
      </c>
      <c r="V25" s="4">
        <v>-0.051198204541947</v>
      </c>
      <c r="W25" s="4">
        <v>0.00338664</v>
      </c>
    </row>
    <row r="26" spans="1:23" x14ac:dyDescent="0.25">
      <c r="A26">
        <v>71175</v>
      </c>
      <c r="B26" t="s">
        <v>65</v>
      </c>
      <c r="C26" t="s">
        <v>66</v>
      </c>
      <c r="D26">
        <v>1</v>
      </c>
      <c r="E26" s="1">
        <v>0.152737752161383</v>
      </c>
      <c r="F26" s="1">
        <v>0.164100702150378</v>
      </c>
      <c r="G26" s="1">
        <v>0.2</v>
      </c>
      <c r="H26" s="1">
        <v>1</v>
      </c>
      <c r="I26" s="1">
        <v>0.6</v>
      </c>
      <c r="J26" t="s">
        <v>18</v>
      </c>
      <c r="K26" s="3">
        <v>7839.67558401489</v>
      </c>
      <c r="L26" s="4">
        <v>0.0250046286822386</v>
      </c>
      <c r="M26" s="4">
        <v>0.212260169468196</v>
      </c>
      <c r="N26" s="4">
        <v>0.193941552712278</v>
      </c>
      <c r="O26" s="4">
        <v>0.0183186167559173</v>
      </c>
      <c r="P26" s="4">
        <v>0.00338664</v>
      </c>
      <c r="Q26" t="s">
        <v>18</v>
      </c>
      <c r="R26" s="3">
        <v>7839.67558401489</v>
      </c>
      <c r="S26" s="4">
        <v>0.0250046286822386</v>
      </c>
      <c r="T26" s="4">
        <v>0.212260169468196</v>
      </c>
      <c r="U26" s="4">
        <v>0.193941552712278</v>
      </c>
      <c r="V26" s="4">
        <v>0.0183186167559173</v>
      </c>
      <c r="W26" s="4">
        <v>0.00338664</v>
      </c>
    </row>
    <row r="27" spans="1:23" x14ac:dyDescent="0.25">
      <c r="A27">
        <v>86809</v>
      </c>
      <c r="B27" t="s">
        <v>67</v>
      </c>
      <c r="C27" t="s">
        <v>68</v>
      </c>
      <c r="D27">
        <v>1</v>
      </c>
      <c r="E27" s="1">
        <v>0.0853558767384783</v>
      </c>
      <c r="F27" s="1">
        <v>-0.00102928213179743</v>
      </c>
      <c r="G27" s="1">
        <v>0.6</v>
      </c>
      <c r="H27" s="1">
        <v>0.6</v>
      </c>
      <c r="I27" s="1">
        <v>0.6</v>
      </c>
      <c r="J27" t="s">
        <v>18</v>
      </c>
      <c r="K27" s="3">
        <v>2187.38069324493</v>
      </c>
      <c r="L27" s="4">
        <v>0.010550793044806</v>
      </c>
      <c r="M27" s="4">
        <v>0.345612902146688</v>
      </c>
      <c r="N27" s="4">
        <v>0.193941552712278</v>
      </c>
      <c r="O27" s="4">
        <v>0.151671349434409</v>
      </c>
      <c r="P27" s="4">
        <v>0.00338664</v>
      </c>
      <c r="Q27" t="s">
        <v>18</v>
      </c>
      <c r="R27" s="3">
        <v>2187.38069324493</v>
      </c>
      <c r="S27" s="4">
        <v>0.010550793044806</v>
      </c>
      <c r="T27" s="4">
        <v>0.345612902146688</v>
      </c>
      <c r="U27" s="4">
        <v>0.193941552712278</v>
      </c>
      <c r="V27" s="4">
        <v>0.151671349434409</v>
      </c>
      <c r="W27" s="4">
        <v>0.00338664</v>
      </c>
    </row>
    <row r="28" spans="1:23" x14ac:dyDescent="0.25">
      <c r="A28">
        <v>90162</v>
      </c>
      <c r="B28" t="s">
        <v>69</v>
      </c>
      <c r="C28" t="s">
        <v>70</v>
      </c>
      <c r="D28">
        <v>1</v>
      </c>
      <c r="E28" s="1">
        <v>0.0878828229027963</v>
      </c>
      <c r="F28" s="1">
        <v>0.00676780499232865</v>
      </c>
      <c r="G28" s="1">
        <v>0.6</v>
      </c>
      <c r="H28" s="1">
        <v>0.6</v>
      </c>
      <c r="I28" s="1">
        <v>0.6</v>
      </c>
      <c r="J28" t="s">
        <v>18</v>
      </c>
      <c r="K28" s="3">
        <v>5626.17964476013</v>
      </c>
      <c r="L28" s="4">
        <v>-0.035846845086931</v>
      </c>
      <c r="M28" s="4">
        <v>0.57169280059829</v>
      </c>
      <c r="N28" s="4">
        <v>0.193941552712278</v>
      </c>
      <c r="O28" s="4">
        <v>0.377751247886012</v>
      </c>
      <c r="P28" s="4">
        <v>0.00338664</v>
      </c>
      <c r="Q28" t="s">
        <v>18</v>
      </c>
      <c r="R28" s="3">
        <v>5626.17964476013</v>
      </c>
      <c r="S28" s="4">
        <v>-0.035846845086931</v>
      </c>
      <c r="T28" s="4">
        <v>0.57169280059829</v>
      </c>
      <c r="U28" s="4">
        <v>0.193941552712278</v>
      </c>
      <c r="V28" s="4">
        <v>0.377751247886012</v>
      </c>
      <c r="W28" s="4">
        <v>0.00338664</v>
      </c>
    </row>
    <row r="29" spans="1:23" x14ac:dyDescent="0.25">
      <c r="A29">
        <v>75175</v>
      </c>
      <c r="B29" t="s">
        <v>71</v>
      </c>
      <c r="C29" t="s">
        <v>72</v>
      </c>
      <c r="D29">
        <v>1</v>
      </c>
      <c r="E29" s="1">
        <v>0.810191082802548</v>
      </c>
      <c r="F29" s="1">
        <v>0.0279066971691597</v>
      </c>
      <c r="G29" s="1">
        <v>0.2</v>
      </c>
      <c r="H29" s="1">
        <v>0.8</v>
      </c>
      <c r="I29" s="1">
        <v>0.5</v>
      </c>
      <c r="J29" t="s">
        <v>18</v>
      </c>
      <c r="K29" s="3">
        <v>2568.36423097134</v>
      </c>
      <c r="L29" s="4">
        <v>-2.69176136363636</v>
      </c>
      <c r="M29" s="4">
        <v>-0.17473684673148</v>
      </c>
      <c r="N29" s="4">
        <v>0.193941552712278</v>
      </c>
      <c r="O29" s="4">
        <v>-0.368678399443758</v>
      </c>
      <c r="P29" s="4">
        <v>0.00338664</v>
      </c>
      <c r="Q29" t="s">
        <v>18</v>
      </c>
      <c r="R29" s="3">
        <v>2568.36423097134</v>
      </c>
      <c r="S29" s="4">
        <v>-2.69176136363636</v>
      </c>
      <c r="T29" s="4">
        <v>-0.17473684673148</v>
      </c>
      <c r="U29" s="4">
        <v>0.193941552712278</v>
      </c>
      <c r="V29" s="4">
        <v>-0.368678399443758</v>
      </c>
      <c r="W29" s="4">
        <v>0.00338664</v>
      </c>
    </row>
    <row r="30" spans="1:23" x14ac:dyDescent="0.25">
      <c r="A30">
        <v>90038</v>
      </c>
      <c r="B30" t="s">
        <v>73</v>
      </c>
      <c r="C30" t="s">
        <v>74</v>
      </c>
      <c r="D30">
        <v>1</v>
      </c>
      <c r="E30" s="1">
        <v>0.165417867435158</v>
      </c>
      <c r="F30" s="1">
        <v>0.0994941793168148</v>
      </c>
      <c r="G30" s="1">
        <v>0.2</v>
      </c>
      <c r="H30" s="1">
        <v>0.8</v>
      </c>
      <c r="I30" s="1">
        <v>0.5</v>
      </c>
      <c r="J30" t="s">
        <v>18</v>
      </c>
      <c r="K30" s="3">
        <v>3919.61179825211</v>
      </c>
      <c r="L30" s="4">
        <v>0.0244495095012525</v>
      </c>
      <c r="M30" s="4">
        <v>0.385721081632519</v>
      </c>
      <c r="N30" s="4">
        <v>0.193941552712278</v>
      </c>
      <c r="O30" s="4">
        <v>0.19177952892024</v>
      </c>
      <c r="P30" s="4">
        <v>0.00338664</v>
      </c>
      <c r="Q30" t="s">
        <v>18</v>
      </c>
      <c r="R30" s="3">
        <v>3919.61179825211</v>
      </c>
      <c r="S30" s="4">
        <v>0.0244495095012525</v>
      </c>
      <c r="T30" s="4">
        <v>0.385721081632519</v>
      </c>
      <c r="U30" s="4">
        <v>0.193941552712278</v>
      </c>
      <c r="V30" s="4">
        <v>0.19177952892024</v>
      </c>
      <c r="W30" s="4">
        <v>0.00338664</v>
      </c>
    </row>
    <row r="31" spans="1:23" x14ac:dyDescent="0.25">
      <c r="A31">
        <v>17743</v>
      </c>
      <c r="B31" t="s">
        <v>75</v>
      </c>
      <c r="C31" t="s">
        <v>76</v>
      </c>
      <c r="D31">
        <v>1</v>
      </c>
      <c r="E31" s="1">
        <v>0.0985691573926868</v>
      </c>
      <c r="F31" s="1">
        <v>-0.163702028203772</v>
      </c>
      <c r="G31" s="1">
        <v>0.6</v>
      </c>
      <c r="H31" s="1">
        <v>0.2</v>
      </c>
      <c r="I31" s="1">
        <v>0.4</v>
      </c>
      <c r="J31" t="s">
        <v>18</v>
      </c>
      <c r="K31" s="3">
        <v>5558.4719030304</v>
      </c>
      <c r="L31" s="4">
        <v>0.116584721517325</v>
      </c>
      <c r="M31" s="4">
        <v>0.098204465938073</v>
      </c>
      <c r="N31" s="4">
        <v>0.193941552712278</v>
      </c>
      <c r="O31" s="4">
        <v>-0.0957370867742053</v>
      </c>
      <c r="P31" s="4">
        <v>0.00338664</v>
      </c>
      <c r="Q31" t="s">
        <v>18</v>
      </c>
      <c r="R31" s="3">
        <v>5558.4719030304</v>
      </c>
      <c r="S31" s="4">
        <v>0.116584721517325</v>
      </c>
      <c r="T31" s="4">
        <v>0.098204465938073</v>
      </c>
      <c r="U31" s="4">
        <v>0.193941552712278</v>
      </c>
      <c r="V31" s="4">
        <v>-0.0957370867742053</v>
      </c>
      <c r="W31" s="4">
        <v>0.00338664</v>
      </c>
    </row>
    <row r="32" spans="1:23" x14ac:dyDescent="0.25">
      <c r="A32">
        <v>47626</v>
      </c>
      <c r="B32" t="s">
        <v>77</v>
      </c>
      <c r="C32" t="s">
        <v>78</v>
      </c>
      <c r="D32">
        <v>1</v>
      </c>
      <c r="E32" s="1">
        <v>0.0831845769368083</v>
      </c>
      <c r="F32" s="1">
        <v>-0.168251933562</v>
      </c>
      <c r="G32" s="1">
        <v>0.6</v>
      </c>
      <c r="H32" s="1">
        <v>0.2</v>
      </c>
      <c r="I32" s="1">
        <v>0.4</v>
      </c>
      <c r="J32" t="s">
        <v>18</v>
      </c>
      <c r="K32" s="3">
        <v>8797.09179194641</v>
      </c>
      <c r="L32" s="4">
        <v>0.0435563538392456</v>
      </c>
      <c r="M32" s="4">
        <v>0.231662902775497</v>
      </c>
      <c r="N32" s="4">
        <v>0.193941552712278</v>
      </c>
      <c r="O32" s="4">
        <v>0.0377213500632188</v>
      </c>
      <c r="P32" s="4">
        <v>0.00338664</v>
      </c>
      <c r="Q32" t="s">
        <v>18</v>
      </c>
      <c r="R32" s="3">
        <v>8797.09179194641</v>
      </c>
      <c r="S32" s="4">
        <v>0.0435563538392456</v>
      </c>
      <c r="T32" s="4">
        <v>0.231662902775497</v>
      </c>
      <c r="U32" s="4">
        <v>0.193941552712278</v>
      </c>
      <c r="V32" s="4">
        <v>0.0377213500632188</v>
      </c>
      <c r="W32" s="4">
        <v>0.00338664</v>
      </c>
    </row>
    <row r="33" spans="1:23" x14ac:dyDescent="0.25">
      <c r="A33">
        <v>93222</v>
      </c>
      <c r="B33" t="s">
        <v>79</v>
      </c>
      <c r="C33" t="s">
        <v>80</v>
      </c>
      <c r="D33">
        <v>1</v>
      </c>
      <c r="E33" s="1">
        <v>0.114791987673344</v>
      </c>
      <c r="F33" s="1">
        <v>-0.0991293444004229</v>
      </c>
      <c r="G33" s="1">
        <v>0.4</v>
      </c>
      <c r="H33" s="1">
        <v>0.4</v>
      </c>
      <c r="I33" s="1">
        <v>0.4</v>
      </c>
      <c r="J33" t="s">
        <v>18</v>
      </c>
      <c r="K33" s="3">
        <v>1900.01172280312</v>
      </c>
      <c r="L33" s="4">
        <v>0.051072982842279</v>
      </c>
      <c r="M33" s="4">
        <v>0.523266364449233</v>
      </c>
      <c r="N33" s="4">
        <v>0.193941552712278</v>
      </c>
      <c r="O33" s="4">
        <v>0.329324811736955</v>
      </c>
      <c r="P33" s="4">
        <v>0.00338664</v>
      </c>
      <c r="Q33" t="s">
        <v>18</v>
      </c>
      <c r="R33" s="3">
        <v>1900.01172280312</v>
      </c>
      <c r="S33" s="4">
        <v>0.051072982842279</v>
      </c>
      <c r="T33" s="4">
        <v>0.523266364449233</v>
      </c>
      <c r="U33" s="4">
        <v>0.193941552712278</v>
      </c>
      <c r="V33" s="4">
        <v>0.329324811736955</v>
      </c>
      <c r="W33" s="4">
        <v>0.00338664</v>
      </c>
    </row>
    <row r="34" spans="1:23" x14ac:dyDescent="0.25">
      <c r="A34">
        <v>49015</v>
      </c>
      <c r="B34" t="s">
        <v>81</v>
      </c>
      <c r="C34" t="s">
        <v>82</v>
      </c>
      <c r="D34">
        <v>1</v>
      </c>
      <c r="E34" s="1">
        <v>0.176833976833977</v>
      </c>
      <c r="F34" s="1">
        <v>-0.0409924108100419</v>
      </c>
      <c r="G34" s="1">
        <v>0.2</v>
      </c>
      <c r="H34" s="1">
        <v>0.4</v>
      </c>
      <c r="I34" s="1">
        <v>0.3</v>
      </c>
      <c r="J34" t="s">
        <v>18</v>
      </c>
      <c r="K34" s="3">
        <v>9790.8094677124</v>
      </c>
      <c r="L34" s="4">
        <v>0.0816423288450597</v>
      </c>
      <c r="M34" s="4">
        <v>0.361342051392844</v>
      </c>
      <c r="N34" s="4">
        <v>0.193941552712278</v>
      </c>
      <c r="O34" s="4">
        <v>0.167400498680566</v>
      </c>
      <c r="P34" s="4">
        <v>0.00338664</v>
      </c>
      <c r="Q34" t="s">
        <v>18</v>
      </c>
      <c r="R34" s="3">
        <v>9790.8094677124</v>
      </c>
      <c r="S34" s="4">
        <v>0.0816423288450597</v>
      </c>
      <c r="T34" s="4">
        <v>0.361342051392844</v>
      </c>
      <c r="U34" s="4">
        <v>0.193941552712278</v>
      </c>
      <c r="V34" s="4">
        <v>0.167400498680566</v>
      </c>
      <c r="W34" s="4">
        <v>0.00338664</v>
      </c>
    </row>
    <row r="35" spans="1:23" x14ac:dyDescent="0.25">
      <c r="A35">
        <v>60687</v>
      </c>
      <c r="B35" t="s">
        <v>83</v>
      </c>
      <c r="C35" t="s">
        <v>84</v>
      </c>
      <c r="D35">
        <v>1</v>
      </c>
      <c r="E35" s="1">
        <v>0.131072874493927</v>
      </c>
      <c r="F35" s="1">
        <v>-0.0314802764471896</v>
      </c>
      <c r="G35" s="1">
        <v>0.2</v>
      </c>
      <c r="H35" s="1">
        <v>0.4</v>
      </c>
      <c r="I35" s="1">
        <v>0.3</v>
      </c>
      <c r="J35" t="s">
        <v>18</v>
      </c>
      <c r="K35" s="3">
        <v>4397.64481628037</v>
      </c>
      <c r="L35" s="4">
        <v>0.030746395250212</v>
      </c>
      <c r="M35" s="4">
        <v>0.242063342686828</v>
      </c>
      <c r="N35" s="4">
        <v>0.193941552712278</v>
      </c>
      <c r="O35" s="4">
        <v>0.0481217899745501</v>
      </c>
      <c r="P35" s="4">
        <v>0.00338664</v>
      </c>
      <c r="Q35" t="s">
        <v>18</v>
      </c>
      <c r="R35" s="3">
        <v>4397.64481628037</v>
      </c>
      <c r="S35" s="4">
        <v>0.030746395250212</v>
      </c>
      <c r="T35" s="4">
        <v>0.242063342686828</v>
      </c>
      <c r="U35" s="4">
        <v>0.193941552712278</v>
      </c>
      <c r="V35" s="4">
        <v>0.0481217899745501</v>
      </c>
      <c r="W35" s="4">
        <v>0.00338664</v>
      </c>
    </row>
    <row r="36" spans="1:23" x14ac:dyDescent="0.25">
      <c r="A36">
        <v>64486</v>
      </c>
      <c r="B36" t="s">
        <v>85</v>
      </c>
      <c r="C36" t="s">
        <v>86</v>
      </c>
      <c r="D36">
        <v>1</v>
      </c>
      <c r="E36" s="1">
        <v>0.130510846745976</v>
      </c>
      <c r="F36" s="1">
        <v>-0.0362643919263927</v>
      </c>
      <c r="G36" s="1">
        <v>0.2</v>
      </c>
      <c r="H36" s="1">
        <v>0.4</v>
      </c>
      <c r="I36" s="1">
        <v>0.3</v>
      </c>
      <c r="J36" t="s">
        <v>18</v>
      </c>
      <c r="K36" s="3">
        <v>3013.22607802963</v>
      </c>
      <c r="L36" s="4">
        <v>0.0190560258132379</v>
      </c>
      <c r="M36" s="4">
        <v>0.375771597135901</v>
      </c>
      <c r="N36" s="4">
        <v>0.193941552712278</v>
      </c>
      <c r="O36" s="4">
        <v>0.181830044423623</v>
      </c>
      <c r="P36" s="4">
        <v>0.00338664</v>
      </c>
      <c r="Q36" t="s">
        <v>18</v>
      </c>
      <c r="R36" s="3">
        <v>3013.22607802963</v>
      </c>
      <c r="S36" s="4">
        <v>0.0190560258132379</v>
      </c>
      <c r="T36" s="4">
        <v>0.375771597135901</v>
      </c>
      <c r="U36" s="4">
        <v>0.193941552712278</v>
      </c>
      <c r="V36" s="4">
        <v>0.181830044423623</v>
      </c>
      <c r="W36" s="4">
        <v>0.00338664</v>
      </c>
    </row>
    <row r="37" spans="1:23" x14ac:dyDescent="0.25">
      <c r="A37">
        <v>66800</v>
      </c>
      <c r="B37" t="s">
        <v>87</v>
      </c>
      <c r="C37" t="s">
        <v>88</v>
      </c>
      <c r="D37">
        <v>1</v>
      </c>
      <c r="E37" s="1">
        <v>0.125779036827195</v>
      </c>
      <c r="F37" s="1">
        <v>-0.216097154738183</v>
      </c>
      <c r="G37" s="1">
        <v>0.4</v>
      </c>
      <c r="H37" s="1">
        <v>0.2</v>
      </c>
      <c r="I37" s="1">
        <v>0.3</v>
      </c>
      <c r="J37" t="s">
        <v>18</v>
      </c>
      <c r="K37" s="3">
        <v>65992.6226263618</v>
      </c>
      <c r="L37" s="4">
        <v>0.0238838904169192</v>
      </c>
      <c r="M37" s="4">
        <v>0.224089340788907</v>
      </c>
      <c r="N37" s="4">
        <v>0.193941552712278</v>
      </c>
      <c r="O37" s="4">
        <v>0.030147788076629</v>
      </c>
      <c r="P37" s="4">
        <v>0.00338664</v>
      </c>
      <c r="Q37" t="s">
        <v>18</v>
      </c>
      <c r="R37" s="3">
        <v>65992.6226263618</v>
      </c>
      <c r="S37" s="4">
        <v>0.0238838904169192</v>
      </c>
      <c r="T37" s="4">
        <v>0.224089340788907</v>
      </c>
      <c r="U37" s="4">
        <v>0.193941552712278</v>
      </c>
      <c r="V37" s="4">
        <v>0.030147788076629</v>
      </c>
      <c r="W37" s="4">
        <v>0.00338664</v>
      </c>
    </row>
    <row r="38" spans="1:23" x14ac:dyDescent="0.25">
      <c r="A38">
        <v>78033</v>
      </c>
      <c r="B38" t="s">
        <v>89</v>
      </c>
      <c r="C38" t="s">
        <v>90</v>
      </c>
      <c r="D38">
        <v>1</v>
      </c>
      <c r="E38" s="1">
        <v>0.103198065036281</v>
      </c>
      <c r="F38" s="1">
        <v>-0.173337432114147</v>
      </c>
      <c r="G38" s="1">
        <v>0.4</v>
      </c>
      <c r="H38" s="1">
        <v>0.2</v>
      </c>
      <c r="I38" s="1">
        <v>0.3</v>
      </c>
      <c r="J38" t="s">
        <v>18</v>
      </c>
      <c r="K38" s="3">
        <v>4331.1755413208</v>
      </c>
      <c r="L38" s="4">
        <v>0.0639518450887846</v>
      </c>
      <c r="M38" s="4">
        <v>0.117122893089544</v>
      </c>
      <c r="N38" s="4">
        <v>0.193941552712278</v>
      </c>
      <c r="O38" s="4">
        <v>-0.0768186596227345</v>
      </c>
      <c r="P38" s="4">
        <v>0.00338664</v>
      </c>
      <c r="Q38" t="s">
        <v>18</v>
      </c>
      <c r="R38" s="3">
        <v>4331.1755413208</v>
      </c>
      <c r="S38" s="4">
        <v>0.0639518450887846</v>
      </c>
      <c r="T38" s="4">
        <v>0.117122893089544</v>
      </c>
      <c r="U38" s="4">
        <v>0.193941552712278</v>
      </c>
      <c r="V38" s="4">
        <v>-0.0768186596227345</v>
      </c>
      <c r="W38" s="4">
        <v>0.00338664</v>
      </c>
    </row>
    <row r="39" spans="1:23" x14ac:dyDescent="0.25">
      <c r="A39">
        <v>92655</v>
      </c>
      <c r="B39" t="s">
        <v>91</v>
      </c>
      <c r="C39" t="s">
        <v>92</v>
      </c>
      <c r="D39">
        <v>1</v>
      </c>
      <c r="E39" s="1">
        <v>0.099188790560472</v>
      </c>
      <c r="F39" s="1">
        <v>-0.340273935294065</v>
      </c>
      <c r="G39" s="1">
        <v>0.4</v>
      </c>
      <c r="H39" s="1">
        <v>0.2</v>
      </c>
      <c r="I39" s="1">
        <v>0.3</v>
      </c>
      <c r="J39" t="s">
        <v>18</v>
      </c>
      <c r="K39" s="3">
        <v>66790.0617840958</v>
      </c>
      <c r="L39" s="4">
        <v>0.085959435314445</v>
      </c>
      <c r="M39" s="4">
        <v>0.291025288645983</v>
      </c>
      <c r="N39" s="4">
        <v>0.193941552712278</v>
      </c>
      <c r="O39" s="4">
        <v>0.0970837359337047</v>
      </c>
      <c r="P39" s="4">
        <v>0.00338664</v>
      </c>
      <c r="Q39" t="s">
        <v>18</v>
      </c>
      <c r="R39" s="3">
        <v>66790.0617840958</v>
      </c>
      <c r="S39" s="4">
        <v>0.085959435314445</v>
      </c>
      <c r="T39" s="4">
        <v>0.291025288645983</v>
      </c>
      <c r="U39" s="4">
        <v>0.193941552712278</v>
      </c>
      <c r="V39" s="4">
        <v>0.0970837359337047</v>
      </c>
      <c r="W39" s="4">
        <v>0.00338664</v>
      </c>
    </row>
    <row r="40" spans="1:23" x14ac:dyDescent="0.25">
      <c r="A40">
        <v>71271</v>
      </c>
      <c r="B40" t="s">
        <v>93</v>
      </c>
      <c r="C40" t="s">
        <v>94</v>
      </c>
      <c r="D40">
        <v>1</v>
      </c>
      <c r="E40" s="1">
        <v>0.135591199093674</v>
      </c>
      <c r="F40" s="1">
        <v>-0.217044188867623</v>
      </c>
      <c r="G40" s="1">
        <v>0.2</v>
      </c>
      <c r="H40" s="1">
        <v>0.2</v>
      </c>
      <c r="I40" s="1">
        <v>0.2</v>
      </c>
      <c r="J40" t="s">
        <v>18</v>
      </c>
      <c r="K40" s="3">
        <v>6434.24161901855</v>
      </c>
      <c r="L40" s="4">
        <v>3.25419947650396</v>
      </c>
      <c r="M40" s="4">
        <v>0.0797948572397478</v>
      </c>
      <c r="N40" s="4">
        <v>0.193941552712278</v>
      </c>
      <c r="O40" s="4">
        <v>-0.11414669547253</v>
      </c>
      <c r="P40" s="4">
        <v>0.00338664</v>
      </c>
      <c r="Q40" t="s">
        <v>18</v>
      </c>
      <c r="R40" s="3">
        <v>6434.24161901855</v>
      </c>
      <c r="S40" s="4">
        <v>3.25419947650396</v>
      </c>
      <c r="T40" s="4">
        <v>0.0797948572397478</v>
      </c>
      <c r="U40" s="4">
        <v>0.193941552712278</v>
      </c>
      <c r="V40" s="4">
        <v>-0.11414669547253</v>
      </c>
      <c r="W40" s="4">
        <v>0.00338664</v>
      </c>
    </row>
    <row r="41" spans="1:23" x14ac:dyDescent="0.25">
      <c r="A41">
        <v>79210</v>
      </c>
      <c r="B41" t="s">
        <v>95</v>
      </c>
      <c r="C41" t="s">
        <v>96</v>
      </c>
      <c r="D41">
        <v>1</v>
      </c>
      <c r="E41" s="1">
        <v>0.160127055306428</v>
      </c>
      <c r="F41" s="1">
        <v>-0.117875157185039</v>
      </c>
      <c r="G41" s="1">
        <v>0.2</v>
      </c>
      <c r="H41" s="1">
        <v>0.2</v>
      </c>
      <c r="I41" s="1">
        <v>0.2</v>
      </c>
      <c r="J41" t="s">
        <v>18</v>
      </c>
      <c r="K41" s="3">
        <v>5010.40593424988</v>
      </c>
      <c r="L41" s="4">
        <v>0.122882395917924</v>
      </c>
      <c r="M41" s="4">
        <v>0.205751064105377</v>
      </c>
      <c r="N41" s="4">
        <v>0.193941552712278</v>
      </c>
      <c r="O41" s="4">
        <v>0.0118095113930985</v>
      </c>
      <c r="P41" s="4">
        <v>0.00338664</v>
      </c>
      <c r="Q41" t="s">
        <v>18</v>
      </c>
      <c r="R41" s="3">
        <v>5010.40593424988</v>
      </c>
      <c r="S41" s="4">
        <v>0.122882395917924</v>
      </c>
      <c r="T41" s="4">
        <v>0.205751064105377</v>
      </c>
      <c r="U41" s="4">
        <v>0.193941552712278</v>
      </c>
      <c r="V41" s="4">
        <v>0.0118095113930985</v>
      </c>
      <c r="W41" s="4">
        <v>0.00338664</v>
      </c>
    </row>
    <row r="42" spans="1:23" x14ac:dyDescent="0.25">
      <c r="A42">
        <v>82775</v>
      </c>
      <c r="B42" t="s">
        <v>97</v>
      </c>
      <c r="C42" t="s">
        <v>98</v>
      </c>
      <c r="D42">
        <v>2</v>
      </c>
      <c r="E42" s="1">
        <v>0.018492961634005</v>
      </c>
      <c r="F42" s="1">
        <v>0.123906678910854</v>
      </c>
      <c r="G42" s="1">
        <v>1</v>
      </c>
      <c r="H42" s="1">
        <v>1</v>
      </c>
      <c r="I42" s="1">
        <v>1</v>
      </c>
      <c r="J42" t="s">
        <v>99</v>
      </c>
      <c r="K42" s="3">
        <v>16103.471137558</v>
      </c>
      <c r="L42" s="4">
        <v>-0.0101846200793409</v>
      </c>
      <c r="M42" s="4">
        <v>0.207814988257714</v>
      </c>
      <c r="N42" s="4">
        <v>0.0988359500271581</v>
      </c>
      <c r="O42" s="4">
        <v>0.108979038230556</v>
      </c>
      <c r="P42" s="4">
        <v>0.002410992</v>
      </c>
      <c r="Q42" t="s">
        <v>99</v>
      </c>
      <c r="R42" s="3">
        <v>16103.471137558</v>
      </c>
      <c r="S42" s="4">
        <v>-0.0101846200793409</v>
      </c>
      <c r="T42" s="4">
        <v>0.207814988257714</v>
      </c>
      <c r="U42" s="4">
        <v>0.0988359500271581</v>
      </c>
      <c r="V42" s="4">
        <v>0.108979038230556</v>
      </c>
      <c r="W42" s="4">
        <v>0.002410992</v>
      </c>
    </row>
    <row r="43" spans="1:23" x14ac:dyDescent="0.25">
      <c r="A43">
        <v>52936</v>
      </c>
      <c r="B43" t="s">
        <v>29</v>
      </c>
      <c r="C43" t="s">
        <v>30</v>
      </c>
      <c r="D43">
        <v>2</v>
      </c>
      <c r="E43" s="1">
        <v>0.0410380205190103</v>
      </c>
      <c r="F43" s="1">
        <v>0.0495149707604561</v>
      </c>
      <c r="G43" s="1">
        <v>1</v>
      </c>
      <c r="H43" s="1">
        <v>0.8</v>
      </c>
      <c r="I43" s="1">
        <v>0.9</v>
      </c>
      <c r="J43" t="s">
        <v>99</v>
      </c>
      <c r="K43" s="3">
        <v>2586.16517033386</v>
      </c>
      <c r="L43" s="4">
        <v>0.0135343127216289</v>
      </c>
      <c r="M43" s="4">
        <v>0.237719722442802</v>
      </c>
      <c r="N43" s="4">
        <v>0.0988359500271581</v>
      </c>
      <c r="O43" s="4">
        <v>0.138883772415644</v>
      </c>
      <c r="P43" s="4">
        <v>0.002410992</v>
      </c>
      <c r="Q43" t="s">
        <v>99</v>
      </c>
      <c r="R43" s="3">
        <v>2586.16517033386</v>
      </c>
      <c r="S43" s="4">
        <v>0.0135343127216289</v>
      </c>
      <c r="T43" s="4">
        <v>0.237719722442802</v>
      </c>
      <c r="U43" s="4">
        <v>0.0988359500271581</v>
      </c>
      <c r="V43" s="4">
        <v>0.138883772415644</v>
      </c>
      <c r="W43" s="4">
        <v>0.002410992</v>
      </c>
    </row>
    <row r="44" spans="1:23" x14ac:dyDescent="0.25">
      <c r="A44">
        <v>64390</v>
      </c>
      <c r="B44" t="s">
        <v>16</v>
      </c>
      <c r="C44" t="s">
        <v>17</v>
      </c>
      <c r="D44">
        <v>2</v>
      </c>
      <c r="E44" s="1">
        <v>0.0715071507150715</v>
      </c>
      <c r="F44" s="1">
        <v>0.19443823345321</v>
      </c>
      <c r="G44" s="1">
        <v>0.8</v>
      </c>
      <c r="H44" s="1">
        <v>1</v>
      </c>
      <c r="I44" s="1">
        <v>0.9</v>
      </c>
      <c r="J44" t="s">
        <v>99</v>
      </c>
      <c r="K44" s="3">
        <v>15013.1203613281</v>
      </c>
      <c r="L44" s="4">
        <v>0.0636251266820151</v>
      </c>
      <c r="M44" s="4">
        <v>0.120414144162033</v>
      </c>
      <c r="N44" s="4">
        <v>0.0988359500271581</v>
      </c>
      <c r="O44" s="4">
        <v>0.0215781941348754</v>
      </c>
      <c r="P44" s="4">
        <v>0.002410992</v>
      </c>
      <c r="Q44" t="s">
        <v>99</v>
      </c>
      <c r="R44" s="3">
        <v>15013.1203613281</v>
      </c>
      <c r="S44" s="4">
        <v>0.0636251266820151</v>
      </c>
      <c r="T44" s="4">
        <v>0.120414144162033</v>
      </c>
      <c r="U44" s="4">
        <v>0.0988359500271581</v>
      </c>
      <c r="V44" s="4">
        <v>0.0215781941348754</v>
      </c>
      <c r="W44" s="4">
        <v>0.002410992</v>
      </c>
    </row>
    <row r="45" spans="1:23" x14ac:dyDescent="0.25">
      <c r="A45">
        <v>23473</v>
      </c>
      <c r="B45" t="s">
        <v>23</v>
      </c>
      <c r="C45" t="s">
        <v>24</v>
      </c>
      <c r="D45">
        <v>2</v>
      </c>
      <c r="E45" s="1">
        <v>0.0603398892495704</v>
      </c>
      <c r="F45" s="1">
        <v>0.0886174860109543</v>
      </c>
      <c r="G45" s="1">
        <v>0.8</v>
      </c>
      <c r="H45" s="1">
        <v>0.8</v>
      </c>
      <c r="I45" s="1">
        <v>0.8</v>
      </c>
      <c r="J45" t="s">
        <v>99</v>
      </c>
      <c r="K45" s="3">
        <v>7878.56015014648</v>
      </c>
      <c r="L45" s="4">
        <v>0.102164923376307</v>
      </c>
      <c r="M45" s="4">
        <v>0.0690854510290471</v>
      </c>
      <c r="N45" s="4">
        <v>0.0988359500271581</v>
      </c>
      <c r="O45" s="4">
        <v>-0.029750498998111</v>
      </c>
      <c r="P45" s="4">
        <v>0.002410992</v>
      </c>
      <c r="Q45" t="s">
        <v>99</v>
      </c>
      <c r="R45" s="3">
        <v>7878.56015014648</v>
      </c>
      <c r="S45" s="4">
        <v>0.102164923376307</v>
      </c>
      <c r="T45" s="4">
        <v>0.0690854510290471</v>
      </c>
      <c r="U45" s="4">
        <v>0.0988359500271581</v>
      </c>
      <c r="V45" s="4">
        <v>-0.029750498998111</v>
      </c>
      <c r="W45" s="4">
        <v>0.002410992</v>
      </c>
    </row>
    <row r="46" spans="1:23" x14ac:dyDescent="0.25">
      <c r="A46">
        <v>38093</v>
      </c>
      <c r="B46" t="s">
        <v>25</v>
      </c>
      <c r="C46" t="s">
        <v>26</v>
      </c>
      <c r="D46">
        <v>2</v>
      </c>
      <c r="E46" s="1">
        <v>0.0443213296398892</v>
      </c>
      <c r="F46" s="1">
        <v>-0.0124360645513731</v>
      </c>
      <c r="G46" s="1">
        <v>1</v>
      </c>
      <c r="H46" s="1">
        <v>0.6</v>
      </c>
      <c r="I46" s="1">
        <v>0.8</v>
      </c>
      <c r="J46" t="s">
        <v>99</v>
      </c>
      <c r="K46" s="3">
        <v>7320.67336029053</v>
      </c>
      <c r="L46" s="4">
        <v>0.262297034419786</v>
      </c>
      <c r="M46" s="4">
        <v>0.0905639888308056</v>
      </c>
      <c r="N46" s="4">
        <v>0.0988359500271581</v>
      </c>
      <c r="O46" s="4">
        <v>-0.00827196119635243</v>
      </c>
      <c r="P46" s="4">
        <v>0.002410992</v>
      </c>
      <c r="Q46" t="s">
        <v>99</v>
      </c>
      <c r="R46" s="3">
        <v>7320.67336029053</v>
      </c>
      <c r="S46" s="4">
        <v>0.262297034419786</v>
      </c>
      <c r="T46" s="4">
        <v>0.0905639888308056</v>
      </c>
      <c r="U46" s="4">
        <v>0.0988359500271581</v>
      </c>
      <c r="V46" s="4">
        <v>-0.00827196119635243</v>
      </c>
      <c r="W46" s="4">
        <v>0.002410992</v>
      </c>
    </row>
    <row r="47" spans="1:23" x14ac:dyDescent="0.25">
      <c r="A47">
        <v>45751</v>
      </c>
      <c r="B47" t="s">
        <v>27</v>
      </c>
      <c r="C47" t="s">
        <v>28</v>
      </c>
      <c r="D47">
        <v>2</v>
      </c>
      <c r="E47" s="1">
        <v>0.0508684863523573</v>
      </c>
      <c r="F47" s="1">
        <v>0.0267648217064454</v>
      </c>
      <c r="G47" s="1">
        <v>0.8</v>
      </c>
      <c r="H47" s="1">
        <v>0.8</v>
      </c>
      <c r="I47" s="1">
        <v>0.8</v>
      </c>
      <c r="J47" t="s">
        <v>99</v>
      </c>
      <c r="K47" s="3">
        <v>28480.3236522751</v>
      </c>
      <c r="L47" s="4">
        <v>0.0282623280778262</v>
      </c>
      <c r="M47" s="4">
        <v>0.182695327761766</v>
      </c>
      <c r="N47" s="4">
        <v>0.0988359500271581</v>
      </c>
      <c r="O47" s="4">
        <v>0.0838593777346075</v>
      </c>
      <c r="P47" s="4">
        <v>0.002410992</v>
      </c>
      <c r="Q47" t="s">
        <v>99</v>
      </c>
      <c r="R47" s="3">
        <v>28480.3236522751</v>
      </c>
      <c r="S47" s="4">
        <v>0.0282623280778262</v>
      </c>
      <c r="T47" s="4">
        <v>0.182695327761766</v>
      </c>
      <c r="U47" s="4">
        <v>0.0988359500271581</v>
      </c>
      <c r="V47" s="4">
        <v>0.0838593777346075</v>
      </c>
      <c r="W47" s="4">
        <v>0.002410992</v>
      </c>
    </row>
    <row r="48" spans="1:23" x14ac:dyDescent="0.25">
      <c r="A48">
        <v>48653</v>
      </c>
      <c r="B48" t="s">
        <v>39</v>
      </c>
      <c r="C48" t="s">
        <v>40</v>
      </c>
      <c r="D48">
        <v>2</v>
      </c>
      <c r="E48" s="1">
        <v>0.0756636310792482</v>
      </c>
      <c r="F48" s="1">
        <v>0.22207220200701</v>
      </c>
      <c r="G48" s="1">
        <v>0.6</v>
      </c>
      <c r="H48" s="1">
        <v>1</v>
      </c>
      <c r="I48" s="1">
        <v>0.8</v>
      </c>
      <c r="J48" t="s">
        <v>99</v>
      </c>
      <c r="K48" s="3">
        <v>19769.0126689453</v>
      </c>
      <c r="L48" s="4">
        <v>0.0558963349179574</v>
      </c>
      <c r="M48" s="4">
        <v>0.738252353929375</v>
      </c>
      <c r="N48" s="4">
        <v>0.0988359500271581</v>
      </c>
      <c r="O48" s="4">
        <v>0.639416403902217</v>
      </c>
      <c r="P48" s="4">
        <v>0.002410992</v>
      </c>
      <c r="Q48" t="s">
        <v>99</v>
      </c>
      <c r="R48" s="3">
        <v>19769.0126689453</v>
      </c>
      <c r="S48" s="4">
        <v>0.0558963349179574</v>
      </c>
      <c r="T48" s="4">
        <v>0.738252353929375</v>
      </c>
      <c r="U48" s="4">
        <v>0.0988359500271581</v>
      </c>
      <c r="V48" s="4">
        <v>0.639416403902217</v>
      </c>
      <c r="W48" s="4">
        <v>0.002410992</v>
      </c>
    </row>
    <row r="49" spans="1:23" x14ac:dyDescent="0.25">
      <c r="A49">
        <v>63467</v>
      </c>
      <c r="B49" t="s">
        <v>43</v>
      </c>
      <c r="C49" t="s">
        <v>44</v>
      </c>
      <c r="D49">
        <v>2</v>
      </c>
      <c r="E49" s="1">
        <v>0.0477859190825104</v>
      </c>
      <c r="F49" s="1">
        <v>0.0210743192981225</v>
      </c>
      <c r="G49" s="1">
        <v>1</v>
      </c>
      <c r="H49" s="1">
        <v>0.6</v>
      </c>
      <c r="I49" s="1">
        <v>0.8</v>
      </c>
      <c r="J49" t="s">
        <v>99</v>
      </c>
      <c r="K49" s="3">
        <v>4452.18211727142</v>
      </c>
      <c r="L49" s="4">
        <v>0.139453809326397</v>
      </c>
      <c r="M49" s="4">
        <v>0.0873028384703307</v>
      </c>
      <c r="N49" s="4">
        <v>0.0988359500271581</v>
      </c>
      <c r="O49" s="4">
        <v>-0.0115331115568274</v>
      </c>
      <c r="P49" s="4">
        <v>0.002410992</v>
      </c>
      <c r="Q49" t="s">
        <v>99</v>
      </c>
      <c r="R49" s="3">
        <v>4452.18211727142</v>
      </c>
      <c r="S49" s="4">
        <v>0.139453809326397</v>
      </c>
      <c r="T49" s="4">
        <v>0.0873028384703307</v>
      </c>
      <c r="U49" s="4">
        <v>0.0988359500271581</v>
      </c>
      <c r="V49" s="4">
        <v>-0.0115331115568274</v>
      </c>
      <c r="W49" s="4">
        <v>0.002410992</v>
      </c>
    </row>
    <row r="50" spans="1:23" x14ac:dyDescent="0.25">
      <c r="A50">
        <v>82486</v>
      </c>
      <c r="B50" t="s">
        <v>47</v>
      </c>
      <c r="C50" t="s">
        <v>48</v>
      </c>
      <c r="D50">
        <v>2</v>
      </c>
      <c r="E50" s="1">
        <v>0.0422592997811816</v>
      </c>
      <c r="F50" s="1">
        <v>-0.0245951561538827</v>
      </c>
      <c r="G50" s="1">
        <v>1</v>
      </c>
      <c r="H50" s="1">
        <v>0.6</v>
      </c>
      <c r="I50" s="1">
        <v>0.8</v>
      </c>
      <c r="J50" t="s">
        <v>99</v>
      </c>
      <c r="K50" s="3">
        <v>3476.18423867035</v>
      </c>
      <c r="L50" s="4">
        <v>0.135476677197547</v>
      </c>
      <c r="M50" s="4">
        <v>0.109978314199721</v>
      </c>
      <c r="N50" s="4">
        <v>0.0988359500271581</v>
      </c>
      <c r="O50" s="4">
        <v>0.0111423641725632</v>
      </c>
      <c r="P50" s="4">
        <v>0.002410992</v>
      </c>
      <c r="Q50" t="s">
        <v>99</v>
      </c>
      <c r="R50" s="3">
        <v>3476.18423867035</v>
      </c>
      <c r="S50" s="4">
        <v>0.135476677197547</v>
      </c>
      <c r="T50" s="4">
        <v>0.109978314199721</v>
      </c>
      <c r="U50" s="4">
        <v>0.0988359500271581</v>
      </c>
      <c r="V50" s="4">
        <v>0.0111423641725632</v>
      </c>
      <c r="W50" s="4">
        <v>0.002410992</v>
      </c>
    </row>
    <row r="51" spans="1:23" x14ac:dyDescent="0.25">
      <c r="A51">
        <v>87666</v>
      </c>
      <c r="B51" t="s">
        <v>35</v>
      </c>
      <c r="C51" t="s">
        <v>36</v>
      </c>
      <c r="D51">
        <v>2</v>
      </c>
      <c r="E51" s="1">
        <v>0.0748933901918977</v>
      </c>
      <c r="F51" s="1">
        <v>0.174082168298501</v>
      </c>
      <c r="G51" s="1">
        <v>0.6</v>
      </c>
      <c r="H51" s="1">
        <v>1</v>
      </c>
      <c r="I51" s="1">
        <v>0.8</v>
      </c>
      <c r="J51" t="s">
        <v>99</v>
      </c>
      <c r="K51" s="3">
        <v>22415.125440979</v>
      </c>
      <c r="L51" s="4">
        <v>-0.232838537223454</v>
      </c>
      <c r="M51" s="4">
        <v>-0.0209169720354024</v>
      </c>
      <c r="N51" s="4">
        <v>0.0988359500271581</v>
      </c>
      <c r="O51" s="4">
        <v>-0.11975292206256</v>
      </c>
      <c r="P51" s="4">
        <v>0.002410992</v>
      </c>
      <c r="Q51" t="s">
        <v>99</v>
      </c>
      <c r="R51" s="3">
        <v>22415.125440979</v>
      </c>
      <c r="S51" s="4">
        <v>-0.232838537223454</v>
      </c>
      <c r="T51" s="4">
        <v>-0.0209169720354024</v>
      </c>
      <c r="U51" s="4">
        <v>0.0988359500271581</v>
      </c>
      <c r="V51" s="4">
        <v>-0.11975292206256</v>
      </c>
      <c r="W51" s="4">
        <v>0.002410992</v>
      </c>
    </row>
    <row r="52" spans="1:23" x14ac:dyDescent="0.25">
      <c r="A52">
        <v>88845</v>
      </c>
      <c r="B52" t="s">
        <v>53</v>
      </c>
      <c r="C52" t="s">
        <v>54</v>
      </c>
      <c r="D52">
        <v>2</v>
      </c>
      <c r="E52" s="1">
        <v>0.0784370899548039</v>
      </c>
      <c r="F52" s="1">
        <v>0.186167962967227</v>
      </c>
      <c r="G52" s="1">
        <v>0.6</v>
      </c>
      <c r="H52" s="1">
        <v>1</v>
      </c>
      <c r="I52" s="1">
        <v>0.8</v>
      </c>
      <c r="J52" t="s">
        <v>99</v>
      </c>
      <c r="K52" s="3">
        <v>28977.9926544189</v>
      </c>
      <c r="L52" s="4">
        <v>0.29208189988496</v>
      </c>
      <c r="M52" s="4">
        <v>0.537540624914536</v>
      </c>
      <c r="N52" s="4">
        <v>0.0988359500271581</v>
      </c>
      <c r="O52" s="4">
        <v>0.438704674887378</v>
      </c>
      <c r="P52" s="4">
        <v>0.002410992</v>
      </c>
      <c r="Q52" t="s">
        <v>99</v>
      </c>
      <c r="R52" s="3">
        <v>28977.9926544189</v>
      </c>
      <c r="S52" s="4">
        <v>0.29208189988496</v>
      </c>
      <c r="T52" s="4">
        <v>0.537540624914536</v>
      </c>
      <c r="U52" s="4">
        <v>0.0988359500271581</v>
      </c>
      <c r="V52" s="4">
        <v>0.438704674887378</v>
      </c>
      <c r="W52" s="4">
        <v>0.002410992</v>
      </c>
    </row>
    <row r="53" spans="1:23" x14ac:dyDescent="0.25">
      <c r="A53">
        <v>90272</v>
      </c>
      <c r="B53" t="s">
        <v>55</v>
      </c>
      <c r="C53" t="s">
        <v>56</v>
      </c>
      <c r="D53">
        <v>2</v>
      </c>
      <c r="E53" s="1">
        <v>0.0572280602101676</v>
      </c>
      <c r="F53" s="1">
        <v>0.0778447519916448</v>
      </c>
      <c r="G53" s="1">
        <v>0.8</v>
      </c>
      <c r="H53" s="1">
        <v>0.8</v>
      </c>
      <c r="I53" s="1">
        <v>0.8</v>
      </c>
      <c r="J53" t="s">
        <v>99</v>
      </c>
      <c r="K53" s="3">
        <v>3275.4090206604</v>
      </c>
      <c r="L53" s="4">
        <v>0.285984457888696</v>
      </c>
      <c r="M53" s="4">
        <v>0.106132994428632</v>
      </c>
      <c r="N53" s="4">
        <v>0.0988359500271581</v>
      </c>
      <c r="O53" s="4">
        <v>0.00729704440147438</v>
      </c>
      <c r="P53" s="4">
        <v>0.002410992</v>
      </c>
      <c r="Q53" t="s">
        <v>99</v>
      </c>
      <c r="R53" s="3">
        <v>3275.4090206604</v>
      </c>
      <c r="S53" s="4">
        <v>0.285984457888696</v>
      </c>
      <c r="T53" s="4">
        <v>0.106132994428632</v>
      </c>
      <c r="U53" s="4">
        <v>0.0988359500271581</v>
      </c>
      <c r="V53" s="4">
        <v>0.00729704440147438</v>
      </c>
      <c r="W53" s="4">
        <v>0.002410992</v>
      </c>
    </row>
    <row r="54" spans="1:23" x14ac:dyDescent="0.25">
      <c r="A54">
        <v>93089</v>
      </c>
      <c r="B54" t="s">
        <v>37</v>
      </c>
      <c r="C54" t="s">
        <v>38</v>
      </c>
      <c r="D54">
        <v>2</v>
      </c>
      <c r="E54" s="1">
        <v>0.0310407790626902</v>
      </c>
      <c r="F54" s="1">
        <v>-0.0108079202992995</v>
      </c>
      <c r="G54" s="1">
        <v>1</v>
      </c>
      <c r="H54" s="1">
        <v>0.6</v>
      </c>
      <c r="I54" s="1">
        <v>0.8</v>
      </c>
      <c r="J54" t="s">
        <v>99</v>
      </c>
      <c r="K54" s="3">
        <v>9985.1673561554</v>
      </c>
      <c r="L54" s="4">
        <v>0.0400066478961364</v>
      </c>
      <c r="M54" s="4">
        <v>0.226220698515709</v>
      </c>
      <c r="N54" s="4">
        <v>0.0988359500271581</v>
      </c>
      <c r="O54" s="4">
        <v>0.127384748488551</v>
      </c>
      <c r="P54" s="4">
        <v>0.002410992</v>
      </c>
      <c r="Q54" t="s">
        <v>99</v>
      </c>
      <c r="R54" s="3">
        <v>9985.1673561554</v>
      </c>
      <c r="S54" s="4">
        <v>0.0400066478961364</v>
      </c>
      <c r="T54" s="4">
        <v>0.226220698515709</v>
      </c>
      <c r="U54" s="4">
        <v>0.0988359500271581</v>
      </c>
      <c r="V54" s="4">
        <v>0.127384748488551</v>
      </c>
      <c r="W54" s="4">
        <v>0.002410992</v>
      </c>
    </row>
    <row r="55" spans="1:23" x14ac:dyDescent="0.25">
      <c r="A55">
        <v>10933</v>
      </c>
      <c r="B55" t="s">
        <v>57</v>
      </c>
      <c r="C55" t="s">
        <v>58</v>
      </c>
      <c r="D55">
        <v>2</v>
      </c>
      <c r="E55" s="1">
        <v>0.0388903248039976</v>
      </c>
      <c r="F55" s="1">
        <v>-0.0989043925856626</v>
      </c>
      <c r="G55" s="1">
        <v>1</v>
      </c>
      <c r="H55" s="1">
        <v>0.4</v>
      </c>
      <c r="I55" s="1">
        <v>0.7</v>
      </c>
      <c r="J55" t="s">
        <v>99</v>
      </c>
      <c r="K55" s="3">
        <v>9158.63536462402</v>
      </c>
      <c r="L55" s="4">
        <v>0.432653365757893</v>
      </c>
      <c r="M55" s="4">
        <v>0.20702265595533</v>
      </c>
      <c r="N55" s="4">
        <v>0.0988359500271581</v>
      </c>
      <c r="O55" s="4">
        <v>0.108186705928172</v>
      </c>
      <c r="P55" s="4">
        <v>0.002410992</v>
      </c>
      <c r="Q55" t="s">
        <v>99</v>
      </c>
      <c r="R55" s="3">
        <v>9158.63536462402</v>
      </c>
      <c r="S55" s="4">
        <v>0.432653365757893</v>
      </c>
      <c r="T55" s="4">
        <v>0.20702265595533</v>
      </c>
      <c r="U55" s="4">
        <v>0.0988359500271581</v>
      </c>
      <c r="V55" s="4">
        <v>0.108186705928172</v>
      </c>
      <c r="W55" s="4">
        <v>0.002410992</v>
      </c>
    </row>
    <row r="56" spans="1:23" x14ac:dyDescent="0.25">
      <c r="A56">
        <v>71175</v>
      </c>
      <c r="B56" t="s">
        <v>65</v>
      </c>
      <c r="C56" t="s">
        <v>66</v>
      </c>
      <c r="D56">
        <v>2</v>
      </c>
      <c r="E56" s="1">
        <v>0.0923603192702395</v>
      </c>
      <c r="F56" s="1">
        <v>0.127525219959562</v>
      </c>
      <c r="G56" s="1">
        <v>0.4</v>
      </c>
      <c r="H56" s="1">
        <v>1</v>
      </c>
      <c r="I56" s="1">
        <v>0.7</v>
      </c>
      <c r="J56" t="s">
        <v>99</v>
      </c>
      <c r="K56" s="3">
        <v>8947.57116794586</v>
      </c>
      <c r="L56" s="4">
        <v>-0.0155912802912907</v>
      </c>
      <c r="M56" s="4">
        <v>0.0516131546705449</v>
      </c>
      <c r="N56" s="4">
        <v>0.0988359500271581</v>
      </c>
      <c r="O56" s="4">
        <v>-0.0472227953566131</v>
      </c>
      <c r="P56" s="4">
        <v>0.002410992</v>
      </c>
      <c r="Q56" t="s">
        <v>99</v>
      </c>
      <c r="R56" s="3">
        <v>8947.57116794586</v>
      </c>
      <c r="S56" s="4">
        <v>-0.0155912802912907</v>
      </c>
      <c r="T56" s="4">
        <v>0.0516131546705449</v>
      </c>
      <c r="U56" s="4">
        <v>0.0988359500271581</v>
      </c>
      <c r="V56" s="4">
        <v>-0.0472227953566131</v>
      </c>
      <c r="W56" s="4">
        <v>0.002410992</v>
      </c>
    </row>
    <row r="57" spans="1:23" x14ac:dyDescent="0.25">
      <c r="A57">
        <v>76697</v>
      </c>
      <c r="B57" t="s">
        <v>33</v>
      </c>
      <c r="C57" t="s">
        <v>34</v>
      </c>
      <c r="D57">
        <v>2</v>
      </c>
      <c r="E57" s="1">
        <v>0.0721267273340074</v>
      </c>
      <c r="F57" s="1">
        <v>-0.00213303750794297</v>
      </c>
      <c r="G57" s="1">
        <v>0.8</v>
      </c>
      <c r="H57" s="1">
        <v>0.6</v>
      </c>
      <c r="I57" s="1">
        <v>0.7</v>
      </c>
      <c r="J57" t="s">
        <v>99</v>
      </c>
      <c r="K57" s="3">
        <v>3331.67423342896</v>
      </c>
      <c r="L57" s="4">
        <v>-0.0173246125013901</v>
      </c>
      <c r="M57" s="4">
        <v>0.556778455738209</v>
      </c>
      <c r="N57" s="4">
        <v>0.0988359500271581</v>
      </c>
      <c r="O57" s="4">
        <v>0.457942505711051</v>
      </c>
      <c r="P57" s="4">
        <v>0.002410992</v>
      </c>
      <c r="Q57" t="s">
        <v>99</v>
      </c>
      <c r="R57" s="3">
        <v>3331.67423342896</v>
      </c>
      <c r="S57" s="4">
        <v>-0.0173246125013901</v>
      </c>
      <c r="T57" s="4">
        <v>0.556778455738209</v>
      </c>
      <c r="U57" s="4">
        <v>0.0988359500271581</v>
      </c>
      <c r="V57" s="4">
        <v>0.457942505711051</v>
      </c>
      <c r="W57" s="4">
        <v>0.002410992</v>
      </c>
    </row>
    <row r="58" spans="1:23" x14ac:dyDescent="0.25">
      <c r="A58">
        <v>79323</v>
      </c>
      <c r="B58" t="s">
        <v>45</v>
      </c>
      <c r="C58" t="s">
        <v>46</v>
      </c>
      <c r="D58">
        <v>2</v>
      </c>
      <c r="E58" s="1">
        <v>0.0892922625595893</v>
      </c>
      <c r="F58" s="1">
        <v>0.353326414951093</v>
      </c>
      <c r="G58" s="1">
        <v>0.4</v>
      </c>
      <c r="H58" s="1">
        <v>1</v>
      </c>
      <c r="I58" s="1">
        <v>0.7</v>
      </c>
      <c r="J58" t="s">
        <v>99</v>
      </c>
      <c r="K58" s="3">
        <v>25483.9520497742</v>
      </c>
      <c r="L58" s="4">
        <v>0.0328617207811839</v>
      </c>
      <c r="M58" s="4">
        <v>0.175709482598857</v>
      </c>
      <c r="N58" s="4">
        <v>0.0988359500271581</v>
      </c>
      <c r="O58" s="4">
        <v>0.0768735325716989</v>
      </c>
      <c r="P58" s="4">
        <v>0.002410992</v>
      </c>
      <c r="Q58" t="s">
        <v>99</v>
      </c>
      <c r="R58" s="3">
        <v>25483.9520497742</v>
      </c>
      <c r="S58" s="4">
        <v>0.0328617207811839</v>
      </c>
      <c r="T58" s="4">
        <v>0.175709482598857</v>
      </c>
      <c r="U58" s="4">
        <v>0.0988359500271581</v>
      </c>
      <c r="V58" s="4">
        <v>0.0768735325716989</v>
      </c>
      <c r="W58" s="4">
        <v>0.002410992</v>
      </c>
    </row>
    <row r="59" spans="1:23" x14ac:dyDescent="0.25">
      <c r="A59">
        <v>82292</v>
      </c>
      <c r="B59" t="s">
        <v>19</v>
      </c>
      <c r="C59" t="s">
        <v>20</v>
      </c>
      <c r="D59">
        <v>2</v>
      </c>
      <c r="E59" s="1">
        <v>0.0934516831351532</v>
      </c>
      <c r="F59" s="1">
        <v>0.0303222585034433</v>
      </c>
      <c r="G59" s="1">
        <v>0.4</v>
      </c>
      <c r="H59" s="1">
        <v>0.8</v>
      </c>
      <c r="I59" s="1">
        <v>0.6</v>
      </c>
      <c r="J59" t="s">
        <v>99</v>
      </c>
      <c r="K59" s="3">
        <v>2782.26276722717</v>
      </c>
      <c r="L59" s="4">
        <v>0.0442198357548958</v>
      </c>
      <c r="M59" s="4">
        <v>0.213183213837356</v>
      </c>
      <c r="N59" s="4">
        <v>0.0988359500271581</v>
      </c>
      <c r="O59" s="4">
        <v>0.114347263810197</v>
      </c>
      <c r="P59" s="4">
        <v>0.002410992</v>
      </c>
      <c r="Q59" t="s">
        <v>99</v>
      </c>
      <c r="R59" s="3">
        <v>2782.26276722717</v>
      </c>
      <c r="S59" s="4">
        <v>0.0442198357548958</v>
      </c>
      <c r="T59" s="4">
        <v>0.213183213837356</v>
      </c>
      <c r="U59" s="4">
        <v>0.0988359500271581</v>
      </c>
      <c r="V59" s="4">
        <v>0.114347263810197</v>
      </c>
      <c r="W59" s="4">
        <v>0.002410992</v>
      </c>
    </row>
    <row r="60" spans="1:23" x14ac:dyDescent="0.25">
      <c r="A60">
        <v>87842</v>
      </c>
      <c r="B60" t="s">
        <v>51</v>
      </c>
      <c r="C60" t="s">
        <v>52</v>
      </c>
      <c r="D60">
        <v>2</v>
      </c>
      <c r="E60" s="1">
        <v>0.0545252225519288</v>
      </c>
      <c r="F60" s="1">
        <v>-0.0818886027973738</v>
      </c>
      <c r="G60" s="1">
        <v>0.8</v>
      </c>
      <c r="H60" s="1">
        <v>0.4</v>
      </c>
      <c r="I60" s="1">
        <v>0.6</v>
      </c>
      <c r="J60" t="s">
        <v>99</v>
      </c>
      <c r="K60" s="3">
        <v>62537.0596657448</v>
      </c>
      <c r="L60" s="4">
        <v>-0.00370630804840175</v>
      </c>
      <c r="M60" s="4">
        <v>0.0538380961061282</v>
      </c>
      <c r="N60" s="4">
        <v>0.0988359500271581</v>
      </c>
      <c r="O60" s="4">
        <v>-0.0449978539210298</v>
      </c>
      <c r="P60" s="4">
        <v>0.002410992</v>
      </c>
      <c r="Q60" t="s">
        <v>99</v>
      </c>
      <c r="R60" s="3">
        <v>62537.0596657448</v>
      </c>
      <c r="S60" s="4">
        <v>-0.00370630804840175</v>
      </c>
      <c r="T60" s="4">
        <v>0.0538380961061282</v>
      </c>
      <c r="U60" s="4">
        <v>0.0988359500271581</v>
      </c>
      <c r="V60" s="4">
        <v>-0.0449978539210298</v>
      </c>
      <c r="W60" s="4">
        <v>0.002410992</v>
      </c>
    </row>
    <row r="61" spans="1:23" x14ac:dyDescent="0.25">
      <c r="A61">
        <v>90162</v>
      </c>
      <c r="B61" t="s">
        <v>69</v>
      </c>
      <c r="C61" t="s">
        <v>70</v>
      </c>
      <c r="D61">
        <v>2</v>
      </c>
      <c r="E61" s="1">
        <v>0.0746941403734707</v>
      </c>
      <c r="F61" s="1">
        <v>-0.0320458757271966</v>
      </c>
      <c r="G61" s="1">
        <v>0.8</v>
      </c>
      <c r="H61" s="1">
        <v>0.4</v>
      </c>
      <c r="I61" s="1">
        <v>0.6</v>
      </c>
      <c r="J61" t="s">
        <v>99</v>
      </c>
      <c r="K61" s="3">
        <v>8635.28921068382</v>
      </c>
      <c r="L61" s="4">
        <v>-0.0474116097659812</v>
      </c>
      <c r="M61" s="4">
        <v>-0.532666270070825</v>
      </c>
      <c r="N61" s="4">
        <v>0.0988359500271581</v>
      </c>
      <c r="O61" s="4">
        <v>-0.631502220097983</v>
      </c>
      <c r="P61" s="4">
        <v>0.002410992</v>
      </c>
      <c r="Q61" t="s">
        <v>99</v>
      </c>
      <c r="R61" s="3">
        <v>8635.28921068382</v>
      </c>
      <c r="S61" s="4">
        <v>-0.0474116097659812</v>
      </c>
      <c r="T61" s="4">
        <v>-0.532666270070825</v>
      </c>
      <c r="U61" s="4">
        <v>0.0988359500271581</v>
      </c>
      <c r="V61" s="4">
        <v>-0.631502220097983</v>
      </c>
      <c r="W61" s="4">
        <v>0.002410992</v>
      </c>
    </row>
    <row r="62" spans="1:23" x14ac:dyDescent="0.25">
      <c r="A62">
        <v>26710</v>
      </c>
      <c r="B62" t="s">
        <v>61</v>
      </c>
      <c r="C62" t="s">
        <v>62</v>
      </c>
      <c r="D62">
        <v>2</v>
      </c>
      <c r="E62" s="1">
        <v>0.0317164179104478</v>
      </c>
      <c r="F62" s="1">
        <v>-0.189661113265439</v>
      </c>
      <c r="G62" s="1">
        <v>1</v>
      </c>
      <c r="H62" s="1">
        <v>0.2</v>
      </c>
      <c r="I62" s="1">
        <v>0.6</v>
      </c>
      <c r="J62" t="s">
        <v>99</v>
      </c>
      <c r="K62" s="3">
        <v>17009.8643512726</v>
      </c>
      <c r="L62" s="4">
        <v>0.0344282572842221</v>
      </c>
      <c r="M62" s="4">
        <v>-0.0641842886695796</v>
      </c>
      <c r="N62" s="4">
        <v>0.0988359500271581</v>
      </c>
      <c r="O62" s="4">
        <v>-0.163020238696738</v>
      </c>
      <c r="P62" s="4">
        <v>0.002410992</v>
      </c>
      <c r="Q62" t="s">
        <v>99</v>
      </c>
      <c r="R62" s="3">
        <v>17009.8643512726</v>
      </c>
      <c r="S62" s="4">
        <v>0.0344282572842221</v>
      </c>
      <c r="T62" s="4">
        <v>-0.0641842886695796</v>
      </c>
      <c r="U62" s="4">
        <v>0.0988359500271581</v>
      </c>
      <c r="V62" s="4">
        <v>-0.163020238696738</v>
      </c>
      <c r="W62" s="4">
        <v>0.002410992</v>
      </c>
    </row>
    <row r="63" spans="1:23" x14ac:dyDescent="0.25">
      <c r="A63">
        <v>57904</v>
      </c>
      <c r="B63" t="s">
        <v>41</v>
      </c>
      <c r="C63" t="s">
        <v>42</v>
      </c>
      <c r="D63">
        <v>2</v>
      </c>
      <c r="E63" s="1">
        <v>0.101796407185629</v>
      </c>
      <c r="F63" s="1">
        <v>0.138477355508421</v>
      </c>
      <c r="G63" s="1">
        <v>0.2</v>
      </c>
      <c r="H63" s="1">
        <v>1</v>
      </c>
      <c r="I63" s="1">
        <v>0.6</v>
      </c>
      <c r="J63" t="s">
        <v>99</v>
      </c>
      <c r="K63" s="3">
        <v>28270.464</v>
      </c>
      <c r="L63" s="4">
        <v>-0.0561819902223624</v>
      </c>
      <c r="M63" s="4">
        <v>0.0419198991734109</v>
      </c>
      <c r="N63" s="4">
        <v>0.0988359500271581</v>
      </c>
      <c r="O63" s="4">
        <v>-0.0569160508537472</v>
      </c>
      <c r="P63" s="4">
        <v>0.002410992</v>
      </c>
      <c r="Q63" t="s">
        <v>99</v>
      </c>
      <c r="R63" s="3">
        <v>28270.464</v>
      </c>
      <c r="S63" s="4">
        <v>-0.0561819902223624</v>
      </c>
      <c r="T63" s="4">
        <v>0.0419198991734109</v>
      </c>
      <c r="U63" s="4">
        <v>0.0988359500271581</v>
      </c>
      <c r="V63" s="4">
        <v>-0.0569160508537472</v>
      </c>
      <c r="W63" s="4">
        <v>0.002410992</v>
      </c>
    </row>
    <row r="64" spans="1:23" x14ac:dyDescent="0.25">
      <c r="A64">
        <v>87212</v>
      </c>
      <c r="B64" t="s">
        <v>49</v>
      </c>
      <c r="C64" t="s">
        <v>50</v>
      </c>
      <c r="D64">
        <v>2</v>
      </c>
      <c r="E64" s="1">
        <v>0.0777671755725191</v>
      </c>
      <c r="F64" s="1">
        <v>0.00799655707399072</v>
      </c>
      <c r="G64" s="1">
        <v>0.6</v>
      </c>
      <c r="H64" s="1">
        <v>0.6</v>
      </c>
      <c r="I64" s="1">
        <v>0.6</v>
      </c>
      <c r="J64" t="s">
        <v>99</v>
      </c>
      <c r="K64" s="3">
        <v>36838.9815559387</v>
      </c>
      <c r="L64" s="4">
        <v>-0.409833223535938</v>
      </c>
      <c r="M64" s="4">
        <v>0.0312824304705419</v>
      </c>
      <c r="N64" s="4">
        <v>0.0988359500271581</v>
      </c>
      <c r="O64" s="4">
        <v>-0.0675535195566161</v>
      </c>
      <c r="P64" s="4">
        <v>0.002410992</v>
      </c>
      <c r="Q64" t="s">
        <v>99</v>
      </c>
      <c r="R64" s="3">
        <v>36838.9815559387</v>
      </c>
      <c r="S64" s="4">
        <v>-0.409833223535938</v>
      </c>
      <c r="T64" s="4">
        <v>0.0312824304705419</v>
      </c>
      <c r="U64" s="4">
        <v>0.0988359500271581</v>
      </c>
      <c r="V64" s="4">
        <v>-0.0675535195566161</v>
      </c>
      <c r="W64" s="4">
        <v>0.002410992</v>
      </c>
    </row>
    <row r="65" spans="1:23" x14ac:dyDescent="0.25">
      <c r="A65">
        <v>59192</v>
      </c>
      <c r="B65" t="s">
        <v>31</v>
      </c>
      <c r="C65" t="s">
        <v>32</v>
      </c>
      <c r="D65">
        <v>2</v>
      </c>
      <c r="E65" s="1">
        <v>0.0939666770154196</v>
      </c>
      <c r="F65" s="1">
        <v>0.112517426821027</v>
      </c>
      <c r="G65" s="1">
        <v>0.2</v>
      </c>
      <c r="H65" s="1">
        <v>0.8</v>
      </c>
      <c r="I65" s="1">
        <v>0.5</v>
      </c>
      <c r="J65" t="s">
        <v>99</v>
      </c>
      <c r="K65" s="3">
        <v>22534.2741723328</v>
      </c>
      <c r="L65" s="4">
        <v>0.0251530574610902</v>
      </c>
      <c r="M65" s="4">
        <v>0.0749165736182784</v>
      </c>
      <c r="N65" s="4">
        <v>0.0988359500271581</v>
      </c>
      <c r="O65" s="4">
        <v>-0.0239193764088796</v>
      </c>
      <c r="P65" s="4">
        <v>0.002410992</v>
      </c>
      <c r="Q65" t="s">
        <v>99</v>
      </c>
      <c r="R65" s="3">
        <v>22534.2741723328</v>
      </c>
      <c r="S65" s="4">
        <v>0.0251530574610902</v>
      </c>
      <c r="T65" s="4">
        <v>0.0749165736182784</v>
      </c>
      <c r="U65" s="4">
        <v>0.0988359500271581</v>
      </c>
      <c r="V65" s="4">
        <v>-0.0239193764088796</v>
      </c>
      <c r="W65" s="4">
        <v>0.002410992</v>
      </c>
    </row>
    <row r="66" spans="1:23" x14ac:dyDescent="0.25">
      <c r="A66">
        <v>60687</v>
      </c>
      <c r="B66" t="s">
        <v>83</v>
      </c>
      <c r="C66" t="s">
        <v>84</v>
      </c>
      <c r="D66">
        <v>2</v>
      </c>
      <c r="E66" s="1">
        <v>0.0913028413028413</v>
      </c>
      <c r="F66" s="1">
        <v>0.0254827006789897</v>
      </c>
      <c r="G66" s="1">
        <v>0.4</v>
      </c>
      <c r="H66" s="1">
        <v>0.6</v>
      </c>
      <c r="I66" s="1">
        <v>0.5</v>
      </c>
      <c r="J66" t="s">
        <v>99</v>
      </c>
      <c r="K66" s="3">
        <v>5331.75176293564</v>
      </c>
      <c r="L66" s="4">
        <v>0.0475210861962559</v>
      </c>
      <c r="M66" s="4">
        <v>0.123825851657581</v>
      </c>
      <c r="N66" s="4">
        <v>0.0988359500271581</v>
      </c>
      <c r="O66" s="4">
        <v>0.0249899016304234</v>
      </c>
      <c r="P66" s="4">
        <v>0.002410992</v>
      </c>
      <c r="Q66" t="s">
        <v>99</v>
      </c>
      <c r="R66" s="3">
        <v>5331.75176293564</v>
      </c>
      <c r="S66" s="4">
        <v>0.0475210861962559</v>
      </c>
      <c r="T66" s="4">
        <v>0.123825851657581</v>
      </c>
      <c r="U66" s="4">
        <v>0.0988359500271581</v>
      </c>
      <c r="V66" s="4">
        <v>0.0249899016304234</v>
      </c>
      <c r="W66" s="4">
        <v>0.002410992</v>
      </c>
    </row>
    <row r="67" spans="1:23" x14ac:dyDescent="0.25">
      <c r="A67">
        <v>75175</v>
      </c>
      <c r="B67" t="s">
        <v>71</v>
      </c>
      <c r="C67" t="s">
        <v>72</v>
      </c>
      <c r="D67">
        <v>2</v>
      </c>
      <c r="E67" s="1">
        <v>0.108877721943049</v>
      </c>
      <c r="F67" s="1">
        <v>0.0374057085206789</v>
      </c>
      <c r="G67" s="1">
        <v>0.2</v>
      </c>
      <c r="H67" s="1">
        <v>0.8</v>
      </c>
      <c r="I67" s="1">
        <v>0.5</v>
      </c>
      <c r="J67" t="s">
        <v>99</v>
      </c>
      <c r="K67" s="3">
        <v>2155.11839255333</v>
      </c>
      <c r="L67" s="4">
        <v>-0.596557514693535</v>
      </c>
      <c r="M67" s="4">
        <v>-0.232993162662942</v>
      </c>
      <c r="N67" s="4">
        <v>0.0988359500271581</v>
      </c>
      <c r="O67" s="4">
        <v>-0.3318291126901</v>
      </c>
      <c r="P67" s="4">
        <v>0.002410992</v>
      </c>
      <c r="Q67" t="s">
        <v>99</v>
      </c>
      <c r="R67" s="3">
        <v>2155.11839255333</v>
      </c>
      <c r="S67" s="4">
        <v>-0.596557514693535</v>
      </c>
      <c r="T67" s="4">
        <v>-0.232993162662942</v>
      </c>
      <c r="U67" s="4">
        <v>0.0988359500271581</v>
      </c>
      <c r="V67" s="4">
        <v>-0.3318291126901</v>
      </c>
      <c r="W67" s="4">
        <v>0.002410992</v>
      </c>
    </row>
    <row r="68" spans="1:23" x14ac:dyDescent="0.25">
      <c r="A68">
        <v>76136</v>
      </c>
      <c r="B68" t="s">
        <v>59</v>
      </c>
      <c r="C68" t="s">
        <v>60</v>
      </c>
      <c r="D68">
        <v>2</v>
      </c>
      <c r="E68" s="1">
        <v>0.0917318982387475</v>
      </c>
      <c r="F68" s="1">
        <v>-0.00348644341387222</v>
      </c>
      <c r="G68" s="1">
        <v>0.4</v>
      </c>
      <c r="H68" s="1">
        <v>0.6</v>
      </c>
      <c r="I68" s="1">
        <v>0.5</v>
      </c>
      <c r="J68" t="s">
        <v>99</v>
      </c>
      <c r="K68" s="3">
        <v>2039.79557377625</v>
      </c>
      <c r="L68" s="4">
        <v>-0.0215654300856095</v>
      </c>
      <c r="M68" s="4">
        <v>0.0515847551944832</v>
      </c>
      <c r="N68" s="4">
        <v>0.0988359500271581</v>
      </c>
      <c r="O68" s="4">
        <v>-0.0472511948326748</v>
      </c>
      <c r="P68" s="4">
        <v>0.002410992</v>
      </c>
      <c r="Q68" t="s">
        <v>99</v>
      </c>
      <c r="R68" s="3">
        <v>2039.79557377625</v>
      </c>
      <c r="S68" s="4">
        <v>-0.0215654300856095</v>
      </c>
      <c r="T68" s="4">
        <v>0.0515847551944832</v>
      </c>
      <c r="U68" s="4">
        <v>0.0988359500271581</v>
      </c>
      <c r="V68" s="4">
        <v>-0.0472511948326748</v>
      </c>
      <c r="W68" s="4">
        <v>0.002410992</v>
      </c>
    </row>
    <row r="69" spans="1:23" x14ac:dyDescent="0.25">
      <c r="A69">
        <v>79210</v>
      </c>
      <c r="B69" t="s">
        <v>95</v>
      </c>
      <c r="C69" t="s">
        <v>96</v>
      </c>
      <c r="D69">
        <v>2</v>
      </c>
      <c r="E69" s="1">
        <v>0.0751840847435732</v>
      </c>
      <c r="F69" s="1">
        <v>-0.0623924256529766</v>
      </c>
      <c r="G69" s="1">
        <v>0.6</v>
      </c>
      <c r="H69" s="1">
        <v>0.4</v>
      </c>
      <c r="I69" s="1">
        <v>0.5</v>
      </c>
      <c r="J69" t="s">
        <v>99</v>
      </c>
      <c r="K69" s="3">
        <v>5450.25430540466</v>
      </c>
      <c r="L69" s="4">
        <v>0.0437902547843385</v>
      </c>
      <c r="M69" s="4">
        <v>0.215017968097106</v>
      </c>
      <c r="N69" s="4">
        <v>0.0988359500271581</v>
      </c>
      <c r="O69" s="4">
        <v>0.116182018069948</v>
      </c>
      <c r="P69" s="4">
        <v>0.002410992</v>
      </c>
      <c r="Q69" t="s">
        <v>99</v>
      </c>
      <c r="R69" s="3">
        <v>5450.25430540466</v>
      </c>
      <c r="S69" s="4">
        <v>0.0437902547843385</v>
      </c>
      <c r="T69" s="4">
        <v>0.215017968097106</v>
      </c>
      <c r="U69" s="4">
        <v>0.0988359500271581</v>
      </c>
      <c r="V69" s="4">
        <v>0.116182018069948</v>
      </c>
      <c r="W69" s="4">
        <v>0.002410992</v>
      </c>
    </row>
    <row r="70" spans="1:23" x14ac:dyDescent="0.25">
      <c r="A70">
        <v>86809</v>
      </c>
      <c r="B70" t="s">
        <v>67</v>
      </c>
      <c r="C70" t="s">
        <v>68</v>
      </c>
      <c r="D70">
        <v>2</v>
      </c>
      <c r="E70" s="1">
        <v>0.0778867924528302</v>
      </c>
      <c r="F70" s="1">
        <v>-0.0780426880104188</v>
      </c>
      <c r="G70" s="1">
        <v>0.6</v>
      </c>
      <c r="H70" s="1">
        <v>0.4</v>
      </c>
      <c r="I70" s="1">
        <v>0.5</v>
      </c>
      <c r="J70" t="s">
        <v>99</v>
      </c>
      <c r="K70" s="3">
        <v>2799.168</v>
      </c>
      <c r="L70" s="4">
        <v>-0.0129477624755297</v>
      </c>
      <c r="M70" s="4">
        <v>0.25922963439258</v>
      </c>
      <c r="N70" s="4">
        <v>0.0988359500271581</v>
      </c>
      <c r="O70" s="4">
        <v>0.160393684365422</v>
      </c>
      <c r="P70" s="4">
        <v>0.002410992</v>
      </c>
      <c r="Q70" t="s">
        <v>99</v>
      </c>
      <c r="R70" s="3">
        <v>2799.168</v>
      </c>
      <c r="S70" s="4">
        <v>-0.0129477624755297</v>
      </c>
      <c r="T70" s="4">
        <v>0.25922963439258</v>
      </c>
      <c r="U70" s="4">
        <v>0.0988359500271581</v>
      </c>
      <c r="V70" s="4">
        <v>0.160393684365422</v>
      </c>
      <c r="W70" s="4">
        <v>0.002410992</v>
      </c>
    </row>
    <row r="71" spans="1:23" x14ac:dyDescent="0.25">
      <c r="A71">
        <v>90038</v>
      </c>
      <c r="B71" t="s">
        <v>73</v>
      </c>
      <c r="C71" t="s">
        <v>74</v>
      </c>
      <c r="D71">
        <v>2</v>
      </c>
      <c r="E71" s="1">
        <v>0.0961277685701371</v>
      </c>
      <c r="F71" s="1">
        <v>0.111728001623902</v>
      </c>
      <c r="G71" s="1">
        <v>0.2</v>
      </c>
      <c r="H71" s="1">
        <v>0.8</v>
      </c>
      <c r="I71" s="1">
        <v>0.5</v>
      </c>
      <c r="J71" t="s">
        <v>99</v>
      </c>
      <c r="K71" s="3">
        <v>4696.19886863709</v>
      </c>
      <c r="L71" s="4">
        <v>0.0675613298769213</v>
      </c>
      <c r="M71" s="4">
        <v>-0.0122881074657631</v>
      </c>
      <c r="N71" s="4">
        <v>0.0988359500271581</v>
      </c>
      <c r="O71" s="4">
        <v>-0.111124057492921</v>
      </c>
      <c r="P71" s="4">
        <v>0.002410992</v>
      </c>
      <c r="Q71" t="s">
        <v>99</v>
      </c>
      <c r="R71" s="3">
        <v>4696.19886863709</v>
      </c>
      <c r="S71" s="4">
        <v>0.0675613298769213</v>
      </c>
      <c r="T71" s="4">
        <v>-0.0122881074657631</v>
      </c>
      <c r="U71" s="4">
        <v>0.0988359500271581</v>
      </c>
      <c r="V71" s="4">
        <v>-0.111124057492921</v>
      </c>
      <c r="W71" s="4">
        <v>0.002410992</v>
      </c>
    </row>
    <row r="72" spans="1:23" x14ac:dyDescent="0.25">
      <c r="A72">
        <v>92655</v>
      </c>
      <c r="B72" t="s">
        <v>91</v>
      </c>
      <c r="C72" t="s">
        <v>92</v>
      </c>
      <c r="D72">
        <v>2</v>
      </c>
      <c r="E72" s="1">
        <v>0.0742363877822045</v>
      </c>
      <c r="F72" s="1">
        <v>-0.340369547917973</v>
      </c>
      <c r="G72" s="1">
        <v>0.8</v>
      </c>
      <c r="H72" s="1">
        <v>0.2</v>
      </c>
      <c r="I72" s="1">
        <v>0.5</v>
      </c>
      <c r="J72" t="s">
        <v>99</v>
      </c>
      <c r="K72" s="3">
        <v>80103.63675</v>
      </c>
      <c r="L72" s="4">
        <v>0.107315265146721</v>
      </c>
      <c r="M72" s="4">
        <v>0.533622015975985</v>
      </c>
      <c r="N72" s="4">
        <v>0.0988359500271581</v>
      </c>
      <c r="O72" s="4">
        <v>0.434786065948827</v>
      </c>
      <c r="P72" s="4">
        <v>0.002410992</v>
      </c>
      <c r="Q72" t="s">
        <v>99</v>
      </c>
      <c r="R72" s="3">
        <v>80103.63675</v>
      </c>
      <c r="S72" s="4">
        <v>0.107315265146721</v>
      </c>
      <c r="T72" s="4">
        <v>0.533622015975985</v>
      </c>
      <c r="U72" s="4">
        <v>0.0988359500271581</v>
      </c>
      <c r="V72" s="4">
        <v>0.434786065948827</v>
      </c>
      <c r="W72" s="4">
        <v>0.002410992</v>
      </c>
    </row>
    <row r="73" spans="1:23" x14ac:dyDescent="0.25">
      <c r="A73">
        <v>17743</v>
      </c>
      <c r="B73" t="s">
        <v>75</v>
      </c>
      <c r="C73" t="s">
        <v>76</v>
      </c>
      <c r="D73">
        <v>2</v>
      </c>
      <c r="E73" s="1">
        <v>0.085042636552201</v>
      </c>
      <c r="F73" s="1">
        <v>-0.16695313449487</v>
      </c>
      <c r="G73" s="1">
        <v>0.6</v>
      </c>
      <c r="H73" s="1">
        <v>0.2</v>
      </c>
      <c r="I73" s="1">
        <v>0.4</v>
      </c>
      <c r="J73" t="s">
        <v>99</v>
      </c>
      <c r="K73" s="3">
        <v>5912.21263532257</v>
      </c>
      <c r="L73" s="4">
        <v>0.103415812543863</v>
      </c>
      <c r="M73" s="4">
        <v>0.130918142447261</v>
      </c>
      <c r="N73" s="4">
        <v>0.0988359500271581</v>
      </c>
      <c r="O73" s="4">
        <v>0.0320821924201029</v>
      </c>
      <c r="P73" s="4">
        <v>0.002410992</v>
      </c>
      <c r="Q73" t="s">
        <v>99</v>
      </c>
      <c r="R73" s="3">
        <v>5912.21263532257</v>
      </c>
      <c r="S73" s="4">
        <v>0.103415812543863</v>
      </c>
      <c r="T73" s="4">
        <v>0.130918142447261</v>
      </c>
      <c r="U73" s="4">
        <v>0.0988359500271581</v>
      </c>
      <c r="V73" s="4">
        <v>0.0320821924201029</v>
      </c>
      <c r="W73" s="4">
        <v>0.002410992</v>
      </c>
    </row>
    <row r="74" spans="1:23" x14ac:dyDescent="0.25">
      <c r="A74">
        <v>47626</v>
      </c>
      <c r="B74" t="s">
        <v>77</v>
      </c>
      <c r="C74" t="s">
        <v>78</v>
      </c>
      <c r="D74">
        <v>2</v>
      </c>
      <c r="E74" s="1">
        <v>0.0811377943576591</v>
      </c>
      <c r="F74" s="1">
        <v>-0.178156145827996</v>
      </c>
      <c r="G74" s="1">
        <v>0.6</v>
      </c>
      <c r="H74" s="1">
        <v>0.2</v>
      </c>
      <c r="I74" s="1">
        <v>0.4</v>
      </c>
      <c r="J74" t="s">
        <v>99</v>
      </c>
      <c r="K74" s="3">
        <v>10910.3680057526</v>
      </c>
      <c r="L74" s="4">
        <v>0.0393717728055077</v>
      </c>
      <c r="M74" s="4">
        <v>0.0336929082321875</v>
      </c>
      <c r="N74" s="4">
        <v>0.0988359500271581</v>
      </c>
      <c r="O74" s="4">
        <v>-0.0651430417949705</v>
      </c>
      <c r="P74" s="4">
        <v>0.002410992</v>
      </c>
      <c r="Q74" t="s">
        <v>99</v>
      </c>
      <c r="R74" s="3">
        <v>10910.3680057526</v>
      </c>
      <c r="S74" s="4">
        <v>0.0393717728055077</v>
      </c>
      <c r="T74" s="4">
        <v>0.0336929082321875</v>
      </c>
      <c r="U74" s="4">
        <v>0.0988359500271581</v>
      </c>
      <c r="V74" s="4">
        <v>-0.0651430417949705</v>
      </c>
      <c r="W74" s="4">
        <v>0.002410992</v>
      </c>
    </row>
    <row r="75" spans="1:23" x14ac:dyDescent="0.25">
      <c r="A75">
        <v>49015</v>
      </c>
      <c r="B75" t="s">
        <v>81</v>
      </c>
      <c r="C75" t="s">
        <v>82</v>
      </c>
      <c r="D75">
        <v>2</v>
      </c>
      <c r="E75" s="1">
        <v>0.0906625339015885</v>
      </c>
      <c r="F75" s="1">
        <v>-0.0249159847322623</v>
      </c>
      <c r="G75" s="1">
        <v>0.4</v>
      </c>
      <c r="H75" s="1">
        <v>0.4</v>
      </c>
      <c r="I75" s="1">
        <v>0.4</v>
      </c>
      <c r="J75" t="s">
        <v>99</v>
      </c>
      <c r="K75" s="3">
        <v>13567.0938778</v>
      </c>
      <c r="L75" s="4">
        <v>0.0417287630402385</v>
      </c>
      <c r="M75" s="4">
        <v>0.204848829879816</v>
      </c>
      <c r="N75" s="4">
        <v>0.0988359500271581</v>
      </c>
      <c r="O75" s="4">
        <v>0.106012879852657</v>
      </c>
      <c r="P75" s="4">
        <v>0.002410992</v>
      </c>
      <c r="Q75" t="s">
        <v>99</v>
      </c>
      <c r="R75" s="3">
        <v>13567.0938778</v>
      </c>
      <c r="S75" s="4">
        <v>0.0417287630402385</v>
      </c>
      <c r="T75" s="4">
        <v>0.204848829879816</v>
      </c>
      <c r="U75" s="4">
        <v>0.0988359500271581</v>
      </c>
      <c r="V75" s="4">
        <v>0.106012879852657</v>
      </c>
      <c r="W75" s="4">
        <v>0.002410992</v>
      </c>
    </row>
    <row r="76" spans="1:23" x14ac:dyDescent="0.25">
      <c r="A76">
        <v>78033</v>
      </c>
      <c r="B76" t="s">
        <v>89</v>
      </c>
      <c r="C76" t="s">
        <v>90</v>
      </c>
      <c r="D76">
        <v>2</v>
      </c>
      <c r="E76" s="1">
        <v>0.08777633289987</v>
      </c>
      <c r="F76" s="1">
        <v>-0.113767573093634</v>
      </c>
      <c r="G76" s="1">
        <v>0.4</v>
      </c>
      <c r="H76" s="1">
        <v>0.4</v>
      </c>
      <c r="I76" s="1">
        <v>0.4</v>
      </c>
      <c r="J76" t="s">
        <v>99</v>
      </c>
      <c r="K76" s="3">
        <v>4889.10586280823</v>
      </c>
      <c r="L76" s="4">
        <v>0.00438549433512262</v>
      </c>
      <c r="M76" s="4">
        <v>0.243398544377062</v>
      </c>
      <c r="N76" s="4">
        <v>0.0988359500271581</v>
      </c>
      <c r="O76" s="4">
        <v>0.144562594349904</v>
      </c>
      <c r="P76" s="4">
        <v>0.002410992</v>
      </c>
      <c r="Q76" t="s">
        <v>99</v>
      </c>
      <c r="R76" s="3">
        <v>4889.10586280823</v>
      </c>
      <c r="S76" s="4">
        <v>0.00438549433512262</v>
      </c>
      <c r="T76" s="4">
        <v>0.243398544377062</v>
      </c>
      <c r="U76" s="4">
        <v>0.0988359500271581</v>
      </c>
      <c r="V76" s="4">
        <v>0.144562594349904</v>
      </c>
      <c r="W76" s="4">
        <v>0.002410992</v>
      </c>
    </row>
    <row r="77" spans="1:23" x14ac:dyDescent="0.25">
      <c r="A77">
        <v>59459</v>
      </c>
      <c r="B77" t="s">
        <v>63</v>
      </c>
      <c r="C77" t="s">
        <v>64</v>
      </c>
      <c r="D77">
        <v>2</v>
      </c>
      <c r="E77" s="1">
        <v>0.108681245858184</v>
      </c>
      <c r="F77" s="1">
        <v>-0.0317080806156064</v>
      </c>
      <c r="G77" s="1">
        <v>0.2</v>
      </c>
      <c r="H77" s="1">
        <v>0.4</v>
      </c>
      <c r="I77" s="1">
        <v>0.3</v>
      </c>
      <c r="J77" t="s">
        <v>99</v>
      </c>
      <c r="K77" s="3">
        <v>32686.69093396</v>
      </c>
      <c r="L77" s="4">
        <v>-0.00066045066045066</v>
      </c>
      <c r="M77" s="4">
        <v>0.106060966192055</v>
      </c>
      <c r="N77" s="4">
        <v>0.0988359500271581</v>
      </c>
      <c r="O77" s="4">
        <v>0.00722501616489724</v>
      </c>
      <c r="P77" s="4">
        <v>0.002410992</v>
      </c>
      <c r="Q77" t="s">
        <v>99</v>
      </c>
      <c r="R77" s="3">
        <v>32686.69093396</v>
      </c>
      <c r="S77" s="4">
        <v>-0.00066045066045066</v>
      </c>
      <c r="T77" s="4">
        <v>0.106060966192055</v>
      </c>
      <c r="U77" s="4">
        <v>0.0988359500271581</v>
      </c>
      <c r="V77" s="4">
        <v>0.00722501616489724</v>
      </c>
      <c r="W77" s="4">
        <v>0.002410992</v>
      </c>
    </row>
    <row r="78" spans="1:23" x14ac:dyDescent="0.25">
      <c r="A78">
        <v>93222</v>
      </c>
      <c r="B78" t="s">
        <v>79</v>
      </c>
      <c r="C78" t="s">
        <v>80</v>
      </c>
      <c r="D78">
        <v>2</v>
      </c>
      <c r="E78" s="1">
        <v>0.0917721518987342</v>
      </c>
      <c r="F78" s="1">
        <v>-0.131920413173295</v>
      </c>
      <c r="G78" s="1">
        <v>0.4</v>
      </c>
      <c r="H78" s="1">
        <v>0.2</v>
      </c>
      <c r="I78" s="1">
        <v>0.3</v>
      </c>
      <c r="J78" t="s">
        <v>99</v>
      </c>
      <c r="K78" s="3">
        <v>2635.65693347168</v>
      </c>
      <c r="L78" s="4">
        <v>0.0182276794212832</v>
      </c>
      <c r="M78" s="4">
        <v>0.262254687431911</v>
      </c>
      <c r="N78" s="4">
        <v>0.0988359500271581</v>
      </c>
      <c r="O78" s="4">
        <v>0.163418737404753</v>
      </c>
      <c r="P78" s="4">
        <v>0.002410992</v>
      </c>
      <c r="Q78" t="s">
        <v>99</v>
      </c>
      <c r="R78" s="3">
        <v>2635.65693347168</v>
      </c>
      <c r="S78" s="4">
        <v>0.0182276794212832</v>
      </c>
      <c r="T78" s="4">
        <v>0.262254687431911</v>
      </c>
      <c r="U78" s="4">
        <v>0.0988359500271581</v>
      </c>
      <c r="V78" s="4">
        <v>0.163418737404753</v>
      </c>
      <c r="W78" s="4">
        <v>0.002410992</v>
      </c>
    </row>
    <row r="79" spans="1:23" x14ac:dyDescent="0.25">
      <c r="A79">
        <v>59396</v>
      </c>
      <c r="B79" t="s">
        <v>100</v>
      </c>
      <c r="C79" t="s">
        <v>101</v>
      </c>
      <c r="D79">
        <v>2</v>
      </c>
      <c r="E79" s="1">
        <v>0.100752750434279</v>
      </c>
      <c r="F79" s="1">
        <v>-0.189936736444913</v>
      </c>
      <c r="G79" s="1">
        <v>0.2</v>
      </c>
      <c r="H79" s="1">
        <v>0.2</v>
      </c>
      <c r="I79" s="1">
        <v>0.2</v>
      </c>
      <c r="J79" t="s">
        <v>99</v>
      </c>
      <c r="K79" s="3">
        <v>4309.43107853699</v>
      </c>
      <c r="L79" s="4">
        <v>0.0950886300074444</v>
      </c>
      <c r="M79" s="4">
        <v>-0.05109430389729</v>
      </c>
      <c r="N79" s="4">
        <v>0.0988359500271581</v>
      </c>
      <c r="O79" s="4">
        <v>-0.149930253924448</v>
      </c>
      <c r="P79" s="4">
        <v>0.002410992</v>
      </c>
      <c r="Q79" t="s">
        <v>99</v>
      </c>
      <c r="R79" s="3">
        <v>4309.43107853699</v>
      </c>
      <c r="S79" s="4">
        <v>0.0950886300074444</v>
      </c>
      <c r="T79" s="4">
        <v>-0.05109430389729</v>
      </c>
      <c r="U79" s="4">
        <v>0.0988359500271581</v>
      </c>
      <c r="V79" s="4">
        <v>-0.149930253924448</v>
      </c>
      <c r="W79" s="4">
        <v>0.002410992</v>
      </c>
    </row>
    <row r="80" spans="1:23" x14ac:dyDescent="0.25">
      <c r="A80">
        <v>66800</v>
      </c>
      <c r="B80" t="s">
        <v>87</v>
      </c>
      <c r="C80" t="s">
        <v>88</v>
      </c>
      <c r="D80">
        <v>2</v>
      </c>
      <c r="E80" s="1">
        <v>0.119686581782566</v>
      </c>
      <c r="F80" s="1">
        <v>-0.120389187014077</v>
      </c>
      <c r="G80" s="1">
        <v>0.2</v>
      </c>
      <c r="H80" s="1">
        <v>0.2</v>
      </c>
      <c r="I80" s="1">
        <v>0.2</v>
      </c>
      <c r="J80" t="s">
        <v>99</v>
      </c>
      <c r="K80" s="3">
        <v>78958.1050688934</v>
      </c>
      <c r="L80" s="4">
        <v>0.0225375626043406</v>
      </c>
      <c r="M80" s="4">
        <v>0.0938819853840516</v>
      </c>
      <c r="N80" s="4">
        <v>0.0988359500271581</v>
      </c>
      <c r="O80" s="4">
        <v>-0.00495396464310649</v>
      </c>
      <c r="P80" s="4">
        <v>0.002410992</v>
      </c>
      <c r="Q80" t="s">
        <v>99</v>
      </c>
      <c r="R80" s="3">
        <v>78958.1050688934</v>
      </c>
      <c r="S80" s="4">
        <v>0.0225375626043406</v>
      </c>
      <c r="T80" s="4">
        <v>0.0938819853840516</v>
      </c>
      <c r="U80" s="4">
        <v>0.0988359500271581</v>
      </c>
      <c r="V80" s="4">
        <v>-0.00495396464310649</v>
      </c>
      <c r="W80" s="4">
        <v>0.002410992</v>
      </c>
    </row>
    <row r="81" spans="1:23" x14ac:dyDescent="0.25">
      <c r="A81">
        <v>71271</v>
      </c>
      <c r="B81" t="s">
        <v>93</v>
      </c>
      <c r="C81" t="s">
        <v>94</v>
      </c>
      <c r="D81">
        <v>2</v>
      </c>
      <c r="E81" s="1">
        <v>0.0936093609360936</v>
      </c>
      <c r="F81" s="1">
        <v>-0.139487899991304</v>
      </c>
      <c r="G81" s="1">
        <v>0.2</v>
      </c>
      <c r="H81" s="1">
        <v>0.2</v>
      </c>
      <c r="I81" s="1">
        <v>0.2</v>
      </c>
      <c r="J81" t="s">
        <v>99</v>
      </c>
      <c r="K81" s="3">
        <v>7213.20759960938</v>
      </c>
      <c r="L81" s="4">
        <v>0.147267050021641</v>
      </c>
      <c r="M81" s="4">
        <v>0.128775678716654</v>
      </c>
      <c r="N81" s="4">
        <v>0.0988359500271581</v>
      </c>
      <c r="O81" s="4">
        <v>0.0299397286894965</v>
      </c>
      <c r="P81" s="4">
        <v>0.002410992</v>
      </c>
      <c r="Q81" t="s">
        <v>99</v>
      </c>
      <c r="R81" s="3">
        <v>7213.20759960938</v>
      </c>
      <c r="S81" s="4">
        <v>0.147267050021641</v>
      </c>
      <c r="T81" s="4">
        <v>0.128775678716654</v>
      </c>
      <c r="U81" s="4">
        <v>0.0988359500271581</v>
      </c>
      <c r="V81" s="4">
        <v>0.0299397286894965</v>
      </c>
      <c r="W81" s="4">
        <v>0.002410992</v>
      </c>
    </row>
    <row r="82" spans="1:23" x14ac:dyDescent="0.25">
      <c r="A82">
        <v>38093</v>
      </c>
      <c r="B82" t="s">
        <v>25</v>
      </c>
      <c r="C82" t="s">
        <v>26</v>
      </c>
      <c r="D82">
        <v>3</v>
      </c>
      <c r="E82" s="1">
        <v>0.0420560747663551</v>
      </c>
      <c r="F82" s="1">
        <v>0.047176334217192</v>
      </c>
      <c r="G82" s="1">
        <v>1</v>
      </c>
      <c r="H82" s="1">
        <v>0.8</v>
      </c>
      <c r="I82" s="1">
        <v>0.9</v>
      </c>
      <c r="J82" t="s">
        <v>102</v>
      </c>
      <c r="K82" s="3">
        <v>7944.08217186356</v>
      </c>
      <c r="L82" s="4">
        <v>0.458485344068436</v>
      </c>
      <c r="M82" s="4">
        <v>0.0322483537206313</v>
      </c>
      <c r="N82" s="4">
        <v>-0.0162660254630797</v>
      </c>
      <c r="O82" s="4">
        <v>0.0485143791837109</v>
      </c>
      <c r="P82" s="4">
        <v>0.001574424</v>
      </c>
      <c r="Q82" t="s">
        <v>102</v>
      </c>
      <c r="R82" s="3">
        <v>7944.08217186356</v>
      </c>
      <c r="S82" s="4">
        <v>0.458485344068436</v>
      </c>
      <c r="T82" s="4">
        <v>0.0322483537206313</v>
      </c>
      <c r="U82" s="4">
        <v>-0.0162660254630797</v>
      </c>
      <c r="V82" s="4">
        <v>0.0485143791837109</v>
      </c>
      <c r="W82" s="4">
        <v>0.001574424</v>
      </c>
    </row>
    <row r="83" spans="1:23" x14ac:dyDescent="0.25">
      <c r="A83">
        <v>48653</v>
      </c>
      <c r="B83" t="s">
        <v>39</v>
      </c>
      <c r="C83" t="s">
        <v>40</v>
      </c>
      <c r="D83">
        <v>3</v>
      </c>
      <c r="E83" s="1">
        <v>0.0517997632806517</v>
      </c>
      <c r="F83" s="1">
        <v>0.411040217581265</v>
      </c>
      <c r="G83" s="1">
        <v>0.8</v>
      </c>
      <c r="H83" s="1">
        <v>1</v>
      </c>
      <c r="I83" s="1">
        <v>0.9</v>
      </c>
      <c r="J83" t="s">
        <v>102</v>
      </c>
      <c r="K83" s="3">
        <v>28650.1094971619</v>
      </c>
      <c r="L83" s="4">
        <v>0.17396461162346</v>
      </c>
      <c r="M83" s="4">
        <v>-0.191207366693916</v>
      </c>
      <c r="N83" s="4">
        <v>-0.0162660254630797</v>
      </c>
      <c r="O83" s="4">
        <v>-0.174941341230836</v>
      </c>
      <c r="P83" s="4">
        <v>0.001574424</v>
      </c>
      <c r="Q83" t="s">
        <v>102</v>
      </c>
      <c r="R83" s="3">
        <v>28650.1094971619</v>
      </c>
      <c r="S83" s="4">
        <v>0.17396461162346</v>
      </c>
      <c r="T83" s="4">
        <v>-0.191207366693916</v>
      </c>
      <c r="U83" s="4">
        <v>-0.0162660254630797</v>
      </c>
      <c r="V83" s="4">
        <v>-0.174941341230836</v>
      </c>
      <c r="W83" s="4">
        <v>0.001574424</v>
      </c>
    </row>
    <row r="84" spans="1:23" x14ac:dyDescent="0.25">
      <c r="A84">
        <v>52936</v>
      </c>
      <c r="B84" t="s">
        <v>29</v>
      </c>
      <c r="C84" t="s">
        <v>30</v>
      </c>
      <c r="D84">
        <v>3</v>
      </c>
      <c r="E84" s="1">
        <v>0.0569966472560438</v>
      </c>
      <c r="F84" s="1">
        <v>0.108777400311894</v>
      </c>
      <c r="G84" s="1">
        <v>0.8</v>
      </c>
      <c r="H84" s="1">
        <v>1</v>
      </c>
      <c r="I84" s="1">
        <v>0.9</v>
      </c>
      <c r="J84" t="s">
        <v>102</v>
      </c>
      <c r="K84" s="3">
        <v>3069.20888415527</v>
      </c>
      <c r="L84" s="4">
        <v>0.0676105026477814</v>
      </c>
      <c r="M84" s="4">
        <v>-0.00990514510883156</v>
      </c>
      <c r="N84" s="4">
        <v>-0.0162660254630797</v>
      </c>
      <c r="O84" s="4">
        <v>0.00636088035424809</v>
      </c>
      <c r="P84" s="4">
        <v>0.001574424</v>
      </c>
      <c r="Q84" t="s">
        <v>102</v>
      </c>
      <c r="R84" s="3">
        <v>3069.20888415527</v>
      </c>
      <c r="S84" s="4">
        <v>0.0676105026477814</v>
      </c>
      <c r="T84" s="4">
        <v>-0.00990514510883156</v>
      </c>
      <c r="U84" s="4">
        <v>-0.0162660254630797</v>
      </c>
      <c r="V84" s="4">
        <v>0.00636088035424809</v>
      </c>
      <c r="W84" s="4">
        <v>0.001574424</v>
      </c>
    </row>
    <row r="85" spans="1:23" x14ac:dyDescent="0.25">
      <c r="A85">
        <v>82486</v>
      </c>
      <c r="B85" t="s">
        <v>47</v>
      </c>
      <c r="C85" t="s">
        <v>48</v>
      </c>
      <c r="D85">
        <v>3</v>
      </c>
      <c r="E85" s="1">
        <v>0.0353641070838383</v>
      </c>
      <c r="F85" s="1">
        <v>0.0582871740858621</v>
      </c>
      <c r="G85" s="1">
        <v>1</v>
      </c>
      <c r="H85" s="1">
        <v>0.8</v>
      </c>
      <c r="I85" s="1">
        <v>0.9</v>
      </c>
      <c r="J85" t="s">
        <v>102</v>
      </c>
      <c r="K85" s="3">
        <v>3790.73121590424</v>
      </c>
      <c r="L85" s="4">
        <v>-0.01620294599018</v>
      </c>
      <c r="M85" s="4">
        <v>0.241543015309627</v>
      </c>
      <c r="N85" s="4">
        <v>-0.0162660254630797</v>
      </c>
      <c r="O85" s="4">
        <v>0.257809040772707</v>
      </c>
      <c r="P85" s="4">
        <v>0.001574424</v>
      </c>
      <c r="Q85" t="s">
        <v>102</v>
      </c>
      <c r="R85" s="3">
        <v>3790.73121590424</v>
      </c>
      <c r="S85" s="4">
        <v>-0.01620294599018</v>
      </c>
      <c r="T85" s="4">
        <v>0.241543015309627</v>
      </c>
      <c r="U85" s="4">
        <v>-0.0162660254630797</v>
      </c>
      <c r="V85" s="4">
        <v>0.257809040772707</v>
      </c>
      <c r="W85" s="4">
        <v>0.001574424</v>
      </c>
    </row>
    <row r="86" spans="1:23" x14ac:dyDescent="0.25">
      <c r="A86">
        <v>90272</v>
      </c>
      <c r="B86" t="s">
        <v>55</v>
      </c>
      <c r="C86" t="s">
        <v>56</v>
      </c>
      <c r="D86">
        <v>3</v>
      </c>
      <c r="E86" s="1">
        <v>0.017669997562759</v>
      </c>
      <c r="F86" s="1">
        <v>0.0518041016873698</v>
      </c>
      <c r="G86" s="1">
        <v>1</v>
      </c>
      <c r="H86" s="1">
        <v>0.8</v>
      </c>
      <c r="I86" s="1">
        <v>0.9</v>
      </c>
      <c r="J86" t="s">
        <v>102</v>
      </c>
      <c r="K86" s="3">
        <v>3736.08294064331</v>
      </c>
      <c r="L86" s="4">
        <v>0.36020529182716</v>
      </c>
      <c r="M86" s="4">
        <v>0.183844981433449</v>
      </c>
      <c r="N86" s="4">
        <v>-0.0162660254630797</v>
      </c>
      <c r="O86" s="4">
        <v>0.200111006896528</v>
      </c>
      <c r="P86" s="4">
        <v>0.001574424</v>
      </c>
      <c r="Q86" t="s">
        <v>102</v>
      </c>
      <c r="R86" s="3">
        <v>3736.08294064331</v>
      </c>
      <c r="S86" s="4">
        <v>0.36020529182716</v>
      </c>
      <c r="T86" s="4">
        <v>0.183844981433449</v>
      </c>
      <c r="U86" s="4">
        <v>-0.0162660254630797</v>
      </c>
      <c r="V86" s="4">
        <v>0.200111006896528</v>
      </c>
      <c r="W86" s="4">
        <v>0.001574424</v>
      </c>
    </row>
    <row r="87" spans="1:23" x14ac:dyDescent="0.25">
      <c r="A87">
        <v>10933</v>
      </c>
      <c r="B87" t="s">
        <v>57</v>
      </c>
      <c r="C87" t="s">
        <v>58</v>
      </c>
      <c r="D87">
        <v>3</v>
      </c>
      <c r="E87" s="1">
        <v>0.0327748813777752</v>
      </c>
      <c r="F87" s="1">
        <v>-0.0455114979569848</v>
      </c>
      <c r="G87" s="1">
        <v>1</v>
      </c>
      <c r="H87" s="1">
        <v>0.6</v>
      </c>
      <c r="I87" s="1">
        <v>0.8</v>
      </c>
      <c r="J87" t="s">
        <v>102</v>
      </c>
      <c r="K87" s="3">
        <v>11166.2831778564</v>
      </c>
      <c r="L87" s="4">
        <v>0.192439060398471</v>
      </c>
      <c r="M87" s="4">
        <v>0.233241875235723</v>
      </c>
      <c r="N87" s="4">
        <v>-0.0162660254630797</v>
      </c>
      <c r="O87" s="4">
        <v>0.249507900698803</v>
      </c>
      <c r="P87" s="4">
        <v>0.001574424</v>
      </c>
      <c r="Q87" t="s">
        <v>102</v>
      </c>
      <c r="R87" s="3">
        <v>11166.2831778564</v>
      </c>
      <c r="S87" s="4">
        <v>0.192439060398471</v>
      </c>
      <c r="T87" s="4">
        <v>0.233241875235723</v>
      </c>
      <c r="U87" s="4">
        <v>-0.0162660254630797</v>
      </c>
      <c r="V87" s="4">
        <v>0.249507900698803</v>
      </c>
      <c r="W87" s="4">
        <v>0.001574424</v>
      </c>
    </row>
    <row r="88" spans="1:23" x14ac:dyDescent="0.25">
      <c r="A88">
        <v>23473</v>
      </c>
      <c r="B88" t="s">
        <v>23</v>
      </c>
      <c r="C88" t="s">
        <v>24</v>
      </c>
      <c r="D88">
        <v>3</v>
      </c>
      <c r="E88" s="1">
        <v>0.0619332432953888</v>
      </c>
      <c r="F88" s="1">
        <v>0.0872647339612046</v>
      </c>
      <c r="G88" s="1">
        <v>0.8</v>
      </c>
      <c r="H88" s="1">
        <v>0.8</v>
      </c>
      <c r="I88" s="1">
        <v>0.8</v>
      </c>
      <c r="J88" t="s">
        <v>102</v>
      </c>
      <c r="K88" s="3">
        <v>8229.52005004883</v>
      </c>
      <c r="L88" s="4">
        <v>0.0913705583756345</v>
      </c>
      <c r="M88" s="4">
        <v>0.422453785100484</v>
      </c>
      <c r="N88" s="4">
        <v>-0.0162660254630797</v>
      </c>
      <c r="O88" s="4">
        <v>0.438719810563564</v>
      </c>
      <c r="P88" s="4">
        <v>0.001574424</v>
      </c>
      <c r="Q88" t="s">
        <v>102</v>
      </c>
      <c r="R88" s="3">
        <v>8229.52005004883</v>
      </c>
      <c r="S88" s="4">
        <v>0.0913705583756345</v>
      </c>
      <c r="T88" s="4">
        <v>0.422453785100484</v>
      </c>
      <c r="U88" s="4">
        <v>-0.0162660254630797</v>
      </c>
      <c r="V88" s="4">
        <v>0.438719810563564</v>
      </c>
      <c r="W88" s="4">
        <v>0.001574424</v>
      </c>
    </row>
    <row r="89" spans="1:23" x14ac:dyDescent="0.25">
      <c r="A89">
        <v>63467</v>
      </c>
      <c r="B89" t="s">
        <v>43</v>
      </c>
      <c r="C89" t="s">
        <v>44</v>
      </c>
      <c r="D89">
        <v>3</v>
      </c>
      <c r="E89" s="1">
        <v>0.043451838347007</v>
      </c>
      <c r="F89" s="1">
        <v>-0.0418472761440871</v>
      </c>
      <c r="G89" s="1">
        <v>1</v>
      </c>
      <c r="H89" s="1">
        <v>0.6</v>
      </c>
      <c r="I89" s="1">
        <v>0.8</v>
      </c>
      <c r="J89" t="s">
        <v>102</v>
      </c>
      <c r="K89" s="3">
        <v>4628.19964596558</v>
      </c>
      <c r="L89" s="4">
        <v>0.15588665269545</v>
      </c>
      <c r="M89" s="4">
        <v>0.129417591968636</v>
      </c>
      <c r="N89" s="4">
        <v>-0.0162660254630797</v>
      </c>
      <c r="O89" s="4">
        <v>0.145683617431715</v>
      </c>
      <c r="P89" s="4">
        <v>0.001574424</v>
      </c>
      <c r="Q89" t="s">
        <v>102</v>
      </c>
      <c r="R89" s="3">
        <v>4628.19964596558</v>
      </c>
      <c r="S89" s="4">
        <v>0.15588665269545</v>
      </c>
      <c r="T89" s="4">
        <v>0.129417591968636</v>
      </c>
      <c r="U89" s="4">
        <v>-0.0162660254630797</v>
      </c>
      <c r="V89" s="4">
        <v>0.145683617431715</v>
      </c>
      <c r="W89" s="4">
        <v>0.001574424</v>
      </c>
    </row>
    <row r="90" spans="1:23" x14ac:dyDescent="0.25">
      <c r="A90">
        <v>64390</v>
      </c>
      <c r="B90" t="s">
        <v>16</v>
      </c>
      <c r="C90" t="s">
        <v>17</v>
      </c>
      <c r="D90">
        <v>3</v>
      </c>
      <c r="E90" s="1">
        <v>0.0804001482030382</v>
      </c>
      <c r="F90" s="1">
        <v>0.115744919203845</v>
      </c>
      <c r="G90" s="1">
        <v>0.6</v>
      </c>
      <c r="H90" s="1">
        <v>1</v>
      </c>
      <c r="I90" s="1">
        <v>0.8</v>
      </c>
      <c r="J90" t="s">
        <v>102</v>
      </c>
      <c r="K90" s="3">
        <v>16313.9459552765</v>
      </c>
      <c r="L90" s="4">
        <v>0.0672435064219778</v>
      </c>
      <c r="M90" s="4">
        <v>0.25188729186415</v>
      </c>
      <c r="N90" s="4">
        <v>-0.0162660254630797</v>
      </c>
      <c r="O90" s="4">
        <v>0.26815331732723</v>
      </c>
      <c r="P90" s="4">
        <v>0.001574424</v>
      </c>
      <c r="Q90" t="s">
        <v>102</v>
      </c>
      <c r="R90" s="3">
        <v>16313.9459552765</v>
      </c>
      <c r="S90" s="4">
        <v>0.0672435064219778</v>
      </c>
      <c r="T90" s="4">
        <v>0.25188729186415</v>
      </c>
      <c r="U90" s="4">
        <v>-0.0162660254630797</v>
      </c>
      <c r="V90" s="4">
        <v>0.26815331732723</v>
      </c>
      <c r="W90" s="4">
        <v>0.001574424</v>
      </c>
    </row>
    <row r="91" spans="1:23" x14ac:dyDescent="0.25">
      <c r="A91">
        <v>87666</v>
      </c>
      <c r="B91" t="s">
        <v>35</v>
      </c>
      <c r="C91" t="s">
        <v>36</v>
      </c>
      <c r="D91">
        <v>3</v>
      </c>
      <c r="E91" s="1">
        <v>0.0687022900763359</v>
      </c>
      <c r="F91" s="1">
        <v>0.218610238634324</v>
      </c>
      <c r="G91" s="1">
        <v>0.6</v>
      </c>
      <c r="H91" s="1">
        <v>1</v>
      </c>
      <c r="I91" s="1">
        <v>0.8</v>
      </c>
      <c r="J91" t="s">
        <v>102</v>
      </c>
      <c r="K91" s="3">
        <v>20444.1409339905</v>
      </c>
      <c r="L91" s="4">
        <v>0.863296018978427</v>
      </c>
      <c r="M91" s="4">
        <v>0.118533621144308</v>
      </c>
      <c r="N91" s="4">
        <v>-0.0162660254630797</v>
      </c>
      <c r="O91" s="4">
        <v>0.134799646607388</v>
      </c>
      <c r="P91" s="4">
        <v>0.001574424</v>
      </c>
      <c r="Q91" t="s">
        <v>102</v>
      </c>
      <c r="R91" s="3">
        <v>20444.1409339905</v>
      </c>
      <c r="S91" s="4">
        <v>0.863296018978427</v>
      </c>
      <c r="T91" s="4">
        <v>0.118533621144308</v>
      </c>
      <c r="U91" s="4">
        <v>-0.0162660254630797</v>
      </c>
      <c r="V91" s="4">
        <v>0.134799646607388</v>
      </c>
      <c r="W91" s="4">
        <v>0.001574424</v>
      </c>
    </row>
    <row r="92" spans="1:23" x14ac:dyDescent="0.25">
      <c r="A92">
        <v>88845</v>
      </c>
      <c r="B92" t="s">
        <v>53</v>
      </c>
      <c r="C92" t="s">
        <v>54</v>
      </c>
      <c r="D92">
        <v>3</v>
      </c>
      <c r="E92" s="1">
        <v>0.0646178092986604</v>
      </c>
      <c r="F92" s="1">
        <v>0.25869421038521</v>
      </c>
      <c r="G92" s="1">
        <v>0.6</v>
      </c>
      <c r="H92" s="1">
        <v>1</v>
      </c>
      <c r="I92" s="1">
        <v>0.8</v>
      </c>
      <c r="J92" t="s">
        <v>102</v>
      </c>
      <c r="K92" s="3">
        <v>44509.0316802978</v>
      </c>
      <c r="L92" s="4">
        <v>0.226674900443905</v>
      </c>
      <c r="M92" s="4">
        <v>-0.0314419003844555</v>
      </c>
      <c r="N92" s="4">
        <v>-0.0162660254630797</v>
      </c>
      <c r="O92" s="4">
        <v>-0.0151758749213758</v>
      </c>
      <c r="P92" s="4">
        <v>0.001574424</v>
      </c>
      <c r="Q92" t="s">
        <v>102</v>
      </c>
      <c r="R92" s="3">
        <v>44509.0316802978</v>
      </c>
      <c r="S92" s="4">
        <v>0.226674900443905</v>
      </c>
      <c r="T92" s="4">
        <v>-0.0314419003844555</v>
      </c>
      <c r="U92" s="4">
        <v>-0.0162660254630797</v>
      </c>
      <c r="V92" s="4">
        <v>-0.0151758749213758</v>
      </c>
      <c r="W92" s="4">
        <v>0.001574424</v>
      </c>
    </row>
    <row r="93" spans="1:23" x14ac:dyDescent="0.25">
      <c r="A93">
        <v>89258</v>
      </c>
      <c r="B93" t="s">
        <v>21</v>
      </c>
      <c r="C93" t="s">
        <v>22</v>
      </c>
      <c r="D93">
        <v>3</v>
      </c>
      <c r="E93" s="1">
        <v>0.0357063895644484</v>
      </c>
      <c r="F93" s="1">
        <v>0.0143117148339107</v>
      </c>
      <c r="G93" s="1">
        <v>1</v>
      </c>
      <c r="H93" s="1">
        <v>0.6</v>
      </c>
      <c r="I93" s="1">
        <v>0.8</v>
      </c>
      <c r="J93" t="s">
        <v>102</v>
      </c>
      <c r="K93" s="3">
        <v>39646.5584793091</v>
      </c>
      <c r="L93" s="4">
        <v>0.306470687616151</v>
      </c>
      <c r="M93" s="4">
        <v>-0.0304259394239243</v>
      </c>
      <c r="N93" s="4">
        <v>-0.0162660254630797</v>
      </c>
      <c r="O93" s="4">
        <v>-0.0141599139608447</v>
      </c>
      <c r="P93" s="4">
        <v>0.001574424</v>
      </c>
      <c r="Q93" t="s">
        <v>102</v>
      </c>
      <c r="R93" s="3">
        <v>39646.5584793091</v>
      </c>
      <c r="S93" s="4">
        <v>0.306470687616151</v>
      </c>
      <c r="T93" s="4">
        <v>-0.0304259394239243</v>
      </c>
      <c r="U93" s="4">
        <v>-0.0162660254630797</v>
      </c>
      <c r="V93" s="4">
        <v>-0.0141599139608447</v>
      </c>
      <c r="W93" s="4">
        <v>0.001574424</v>
      </c>
    </row>
    <row r="94" spans="1:23" x14ac:dyDescent="0.25">
      <c r="A94">
        <v>93089</v>
      </c>
      <c r="B94" t="s">
        <v>37</v>
      </c>
      <c r="C94" t="s">
        <v>38</v>
      </c>
      <c r="D94">
        <v>3</v>
      </c>
      <c r="E94" s="1">
        <v>0.0349726775956284</v>
      </c>
      <c r="F94" s="1">
        <v>0.0128467111794426</v>
      </c>
      <c r="G94" s="1">
        <v>1</v>
      </c>
      <c r="H94" s="1">
        <v>0.6</v>
      </c>
      <c r="I94" s="1">
        <v>0.8</v>
      </c>
      <c r="J94" t="s">
        <v>102</v>
      </c>
      <c r="K94" s="3">
        <v>12256.7133998566</v>
      </c>
      <c r="L94" s="4">
        <v>0.0946435520895807</v>
      </c>
      <c r="M94" s="4">
        <v>0.0938274594887318</v>
      </c>
      <c r="N94" s="4">
        <v>-0.0162660254630797</v>
      </c>
      <c r="O94" s="4">
        <v>0.110093484951811</v>
      </c>
      <c r="P94" s="4">
        <v>0.001574424</v>
      </c>
      <c r="Q94" t="s">
        <v>102</v>
      </c>
      <c r="R94" s="3">
        <v>12256.7133998566</v>
      </c>
      <c r="S94" s="4">
        <v>0.0946435520895807</v>
      </c>
      <c r="T94" s="4">
        <v>0.0938274594887318</v>
      </c>
      <c r="U94" s="4">
        <v>-0.0162660254630797</v>
      </c>
      <c r="V94" s="4">
        <v>0.110093484951811</v>
      </c>
      <c r="W94" s="4">
        <v>0.001574424</v>
      </c>
    </row>
    <row r="95" spans="1:23" x14ac:dyDescent="0.25">
      <c r="A95">
        <v>71175</v>
      </c>
      <c r="B95" t="s">
        <v>65</v>
      </c>
      <c r="C95" t="s">
        <v>66</v>
      </c>
      <c r="D95">
        <v>3</v>
      </c>
      <c r="E95" s="1">
        <v>0.0464449541284404</v>
      </c>
      <c r="F95" s="1">
        <v>0.0123199231292801</v>
      </c>
      <c r="G95" s="1">
        <v>0.8</v>
      </c>
      <c r="H95" s="1">
        <v>0.6</v>
      </c>
      <c r="I95" s="1">
        <v>0.7</v>
      </c>
      <c r="J95" t="s">
        <v>102</v>
      </c>
      <c r="K95" s="3">
        <v>8918.9815</v>
      </c>
      <c r="L95" s="4">
        <v>0.0153070586303804</v>
      </c>
      <c r="M95" s="4">
        <v>0.0798846447403723</v>
      </c>
      <c r="N95" s="4">
        <v>-0.0162660254630797</v>
      </c>
      <c r="O95" s="4">
        <v>0.0961506702034519</v>
      </c>
      <c r="P95" s="4">
        <v>0.001574424</v>
      </c>
      <c r="Q95" t="s">
        <v>102</v>
      </c>
      <c r="R95" s="3">
        <v>8918.9815</v>
      </c>
      <c r="S95" s="4">
        <v>0.0153070586303804</v>
      </c>
      <c r="T95" s="4">
        <v>0.0798846447403723</v>
      </c>
      <c r="U95" s="4">
        <v>-0.0162660254630797</v>
      </c>
      <c r="V95" s="4">
        <v>0.0961506702034519</v>
      </c>
      <c r="W95" s="4">
        <v>0.001574424</v>
      </c>
    </row>
    <row r="96" spans="1:23" x14ac:dyDescent="0.25">
      <c r="A96">
        <v>76136</v>
      </c>
      <c r="B96" t="s">
        <v>59</v>
      </c>
      <c r="C96" t="s">
        <v>60</v>
      </c>
      <c r="D96">
        <v>3</v>
      </c>
      <c r="E96" s="1">
        <v>0.0576017723622265</v>
      </c>
      <c r="F96" s="1">
        <v>-0.0127686643233715</v>
      </c>
      <c r="G96" s="1">
        <v>0.8</v>
      </c>
      <c r="H96" s="1">
        <v>0.6</v>
      </c>
      <c r="I96" s="1">
        <v>0.7</v>
      </c>
      <c r="J96" t="s">
        <v>102</v>
      </c>
      <c r="K96" s="3">
        <v>1997.93081045914</v>
      </c>
      <c r="L96" s="4">
        <v>-0.0885379775842673</v>
      </c>
      <c r="M96" s="4">
        <v>-0.0707971416873393</v>
      </c>
      <c r="N96" s="4">
        <v>-0.0162660254630797</v>
      </c>
      <c r="O96" s="4">
        <v>-0.0545311162242597</v>
      </c>
      <c r="P96" s="4">
        <v>0.001574424</v>
      </c>
      <c r="Q96" t="s">
        <v>102</v>
      </c>
      <c r="R96" s="3">
        <v>1997.93081045914</v>
      </c>
      <c r="S96" s="4">
        <v>-0.0885379775842673</v>
      </c>
      <c r="T96" s="4">
        <v>-0.0707971416873393</v>
      </c>
      <c r="U96" s="4">
        <v>-0.0162660254630797</v>
      </c>
      <c r="V96" s="4">
        <v>-0.0545311162242597</v>
      </c>
      <c r="W96" s="4">
        <v>0.001574424</v>
      </c>
    </row>
    <row r="97" spans="1:23" x14ac:dyDescent="0.25">
      <c r="A97">
        <v>79323</v>
      </c>
      <c r="B97" t="s">
        <v>45</v>
      </c>
      <c r="C97" t="s">
        <v>46</v>
      </c>
      <c r="D97">
        <v>3</v>
      </c>
      <c r="E97" s="1">
        <v>0.0906761565836299</v>
      </c>
      <c r="F97" s="1">
        <v>0.37596334660135</v>
      </c>
      <c r="G97" s="1">
        <v>0.4</v>
      </c>
      <c r="H97" s="1">
        <v>1</v>
      </c>
      <c r="I97" s="1">
        <v>0.7</v>
      </c>
      <c r="J97" t="s">
        <v>102</v>
      </c>
      <c r="K97" s="3">
        <v>26532.6744333878</v>
      </c>
      <c r="L97" s="4">
        <v>0.019347285233426</v>
      </c>
      <c r="M97" s="4">
        <v>0.0180694520473448</v>
      </c>
      <c r="N97" s="4">
        <v>-0.0162660254630797</v>
      </c>
      <c r="O97" s="4">
        <v>0.0343354775104244</v>
      </c>
      <c r="P97" s="4">
        <v>0.001574424</v>
      </c>
      <c r="Q97" t="s">
        <v>102</v>
      </c>
      <c r="R97" s="3">
        <v>26532.6744333878</v>
      </c>
      <c r="S97" s="4">
        <v>0.019347285233426</v>
      </c>
      <c r="T97" s="4">
        <v>0.0180694520473448</v>
      </c>
      <c r="U97" s="4">
        <v>-0.0162660254630797</v>
      </c>
      <c r="V97" s="4">
        <v>0.0343354775104244</v>
      </c>
      <c r="W97" s="4">
        <v>0.001574424</v>
      </c>
    </row>
    <row r="98" spans="1:23" x14ac:dyDescent="0.25">
      <c r="A98">
        <v>82775</v>
      </c>
      <c r="B98" t="s">
        <v>97</v>
      </c>
      <c r="C98" t="s">
        <v>98</v>
      </c>
      <c r="D98">
        <v>3</v>
      </c>
      <c r="E98" s="1">
        <v>0.0731590309426721</v>
      </c>
      <c r="F98" s="1">
        <v>0.0602478700912544</v>
      </c>
      <c r="G98" s="1">
        <v>0.6</v>
      </c>
      <c r="H98" s="1">
        <v>0.8</v>
      </c>
      <c r="I98" s="1">
        <v>0.7</v>
      </c>
      <c r="J98" t="s">
        <v>102</v>
      </c>
      <c r="K98" s="3">
        <v>17456.4484018478</v>
      </c>
      <c r="L98" s="4">
        <v>-0.293999768777217</v>
      </c>
      <c r="M98" s="4">
        <v>0.119091736520355</v>
      </c>
      <c r="N98" s="4">
        <v>-0.0162660254630797</v>
      </c>
      <c r="O98" s="4">
        <v>0.135357761983435</v>
      </c>
      <c r="P98" s="4">
        <v>0.001574424</v>
      </c>
      <c r="Q98" t="s">
        <v>102</v>
      </c>
      <c r="R98" s="3">
        <v>17456.4484018478</v>
      </c>
      <c r="S98" s="4">
        <v>-0.293999768777217</v>
      </c>
      <c r="T98" s="4">
        <v>0.119091736520355</v>
      </c>
      <c r="U98" s="4">
        <v>-0.0162660254630797</v>
      </c>
      <c r="V98" s="4">
        <v>0.135357761983435</v>
      </c>
      <c r="W98" s="4">
        <v>0.001574424</v>
      </c>
    </row>
    <row r="99" spans="1:23" x14ac:dyDescent="0.25">
      <c r="A99">
        <v>87212</v>
      </c>
      <c r="B99" t="s">
        <v>49</v>
      </c>
      <c r="C99" t="s">
        <v>50</v>
      </c>
      <c r="D99">
        <v>3</v>
      </c>
      <c r="E99" s="1">
        <v>0.0820559062218215</v>
      </c>
      <c r="F99" s="1">
        <v>0.103289063970744</v>
      </c>
      <c r="G99" s="1">
        <v>0.6</v>
      </c>
      <c r="H99" s="1">
        <v>0.8</v>
      </c>
      <c r="I99" s="1">
        <v>0.7</v>
      </c>
      <c r="J99" t="s">
        <v>102</v>
      </c>
      <c r="K99" s="3">
        <v>36622.3003005981</v>
      </c>
      <c r="L99" s="4">
        <v>2.12572704306445</v>
      </c>
      <c r="M99" s="4">
        <v>-0.160441079128563</v>
      </c>
      <c r="N99" s="4">
        <v>-0.0162660254630797</v>
      </c>
      <c r="O99" s="4">
        <v>-0.144175053665484</v>
      </c>
      <c r="P99" s="4">
        <v>0.001574424</v>
      </c>
      <c r="Q99" t="s">
        <v>102</v>
      </c>
      <c r="R99" s="3">
        <v>36622.3003005981</v>
      </c>
      <c r="S99" s="4">
        <v>2.12572704306445</v>
      </c>
      <c r="T99" s="4">
        <v>-0.160441079128563</v>
      </c>
      <c r="U99" s="4">
        <v>-0.0162660254630797</v>
      </c>
      <c r="V99" s="4">
        <v>-0.144175053665484</v>
      </c>
      <c r="W99" s="4">
        <v>0.001574424</v>
      </c>
    </row>
    <row r="100" spans="1:23" x14ac:dyDescent="0.25">
      <c r="A100">
        <v>89269</v>
      </c>
      <c r="B100" t="s">
        <v>103</v>
      </c>
      <c r="C100" t="s">
        <v>104</v>
      </c>
      <c r="D100">
        <v>3</v>
      </c>
      <c r="E100" s="1">
        <v>0.0443909484833895</v>
      </c>
      <c r="F100" s="1">
        <v>-0.0812286093160325</v>
      </c>
      <c r="G100" s="1">
        <v>1</v>
      </c>
      <c r="H100" s="1">
        <v>0.4</v>
      </c>
      <c r="I100" s="1">
        <v>0.7</v>
      </c>
      <c r="J100" t="s">
        <v>102</v>
      </c>
      <c r="K100" s="3">
        <v>9560.76618144989</v>
      </c>
      <c r="L100" s="4">
        <v>0.524394593959181</v>
      </c>
      <c r="M100" s="4">
        <v>-0.172418349977276</v>
      </c>
      <c r="N100" s="4">
        <v>-0.0162660254630797</v>
      </c>
      <c r="O100" s="4">
        <v>-0.156152324514196</v>
      </c>
      <c r="P100" s="4">
        <v>0.001574424</v>
      </c>
      <c r="Q100" t="s">
        <v>102</v>
      </c>
      <c r="R100" s="3">
        <v>9560.76618144989</v>
      </c>
      <c r="S100" s="4">
        <v>0.524394593959181</v>
      </c>
      <c r="T100" s="4">
        <v>-0.172418349977276</v>
      </c>
      <c r="U100" s="4">
        <v>-0.0162660254630797</v>
      </c>
      <c r="V100" s="4">
        <v>-0.156152324514196</v>
      </c>
      <c r="W100" s="4">
        <v>0.001574424</v>
      </c>
    </row>
    <row r="101" spans="1:23" x14ac:dyDescent="0.25">
      <c r="A101">
        <v>90038</v>
      </c>
      <c r="B101" t="s">
        <v>73</v>
      </c>
      <c r="C101" t="s">
        <v>74</v>
      </c>
      <c r="D101">
        <v>3</v>
      </c>
      <c r="E101" s="1">
        <v>0.0952798480198743</v>
      </c>
      <c r="F101" s="1">
        <v>0.107871648896481</v>
      </c>
      <c r="G101" s="1">
        <v>0.4</v>
      </c>
      <c r="H101" s="1">
        <v>1</v>
      </c>
      <c r="I101" s="1">
        <v>0.7</v>
      </c>
      <c r="J101" t="s">
        <v>102</v>
      </c>
      <c r="K101" s="3">
        <v>4550.372</v>
      </c>
      <c r="L101" s="4">
        <v>0.147441044681513</v>
      </c>
      <c r="M101" s="4">
        <v>0.357399524856511</v>
      </c>
      <c r="N101" s="4">
        <v>-0.0162660254630797</v>
      </c>
      <c r="O101" s="4">
        <v>0.373665550319591</v>
      </c>
      <c r="P101" s="4">
        <v>0.001574424</v>
      </c>
      <c r="Q101" t="s">
        <v>102</v>
      </c>
      <c r="R101" s="3">
        <v>4550.372</v>
      </c>
      <c r="S101" s="4">
        <v>0.147441044681513</v>
      </c>
      <c r="T101" s="4">
        <v>0.357399524856511</v>
      </c>
      <c r="U101" s="4">
        <v>-0.0162660254630797</v>
      </c>
      <c r="V101" s="4">
        <v>0.373665550319591</v>
      </c>
      <c r="W101" s="4">
        <v>0.001574424</v>
      </c>
    </row>
    <row r="102" spans="1:23" x14ac:dyDescent="0.25">
      <c r="A102">
        <v>45751</v>
      </c>
      <c r="B102" t="s">
        <v>27</v>
      </c>
      <c r="C102" t="s">
        <v>28</v>
      </c>
      <c r="D102">
        <v>3</v>
      </c>
      <c r="E102" s="1">
        <v>0.0461215932914046</v>
      </c>
      <c r="F102" s="1">
        <v>-0.0764629433384116</v>
      </c>
      <c r="G102" s="1">
        <v>0.8</v>
      </c>
      <c r="H102" s="1">
        <v>0.4</v>
      </c>
      <c r="I102" s="1">
        <v>0.6</v>
      </c>
      <c r="J102" t="s">
        <v>102</v>
      </c>
      <c r="K102" s="3">
        <v>30527.7340107727</v>
      </c>
      <c r="L102" s="4">
        <v>0.056275997063861</v>
      </c>
      <c r="M102" s="4">
        <v>0.159384539803829</v>
      </c>
      <c r="N102" s="4">
        <v>-0.0162660254630797</v>
      </c>
      <c r="O102" s="4">
        <v>0.175650565266909</v>
      </c>
      <c r="P102" s="4">
        <v>0.001574424</v>
      </c>
      <c r="Q102" t="s">
        <v>102</v>
      </c>
      <c r="R102" s="3">
        <v>30527.7340107727</v>
      </c>
      <c r="S102" s="4">
        <v>0.056275997063861</v>
      </c>
      <c r="T102" s="4">
        <v>0.159384539803829</v>
      </c>
      <c r="U102" s="4">
        <v>-0.0162660254630797</v>
      </c>
      <c r="V102" s="4">
        <v>0.175650565266909</v>
      </c>
      <c r="W102" s="4">
        <v>0.001574424</v>
      </c>
    </row>
    <row r="103" spans="1:23" x14ac:dyDescent="0.25">
      <c r="A103">
        <v>82292</v>
      </c>
      <c r="B103" t="s">
        <v>19</v>
      </c>
      <c r="C103" t="s">
        <v>20</v>
      </c>
      <c r="D103">
        <v>3</v>
      </c>
      <c r="E103" s="1">
        <v>0.0898766124509254</v>
      </c>
      <c r="F103" s="1">
        <v>0.0895940764043684</v>
      </c>
      <c r="G103" s="1">
        <v>0.4</v>
      </c>
      <c r="H103" s="1">
        <v>0.8</v>
      </c>
      <c r="I103" s="1">
        <v>0.6</v>
      </c>
      <c r="J103" t="s">
        <v>102</v>
      </c>
      <c r="K103" s="3">
        <v>3273.45848602295</v>
      </c>
      <c r="L103" s="4">
        <v>0.0571374929595095</v>
      </c>
      <c r="M103" s="4">
        <v>0.244236615005266</v>
      </c>
      <c r="N103" s="4">
        <v>-0.0162660254630797</v>
      </c>
      <c r="O103" s="4">
        <v>0.260502640468345</v>
      </c>
      <c r="P103" s="4">
        <v>0.001574424</v>
      </c>
      <c r="Q103" t="s">
        <v>102</v>
      </c>
      <c r="R103" s="3">
        <v>3273.45848602295</v>
      </c>
      <c r="S103" s="4">
        <v>0.0571374929595095</v>
      </c>
      <c r="T103" s="4">
        <v>0.244236615005266</v>
      </c>
      <c r="U103" s="4">
        <v>-0.0162660254630797</v>
      </c>
      <c r="V103" s="4">
        <v>0.260502640468345</v>
      </c>
      <c r="W103" s="4">
        <v>0.001574424</v>
      </c>
    </row>
    <row r="104" spans="1:23" x14ac:dyDescent="0.25">
      <c r="A104">
        <v>57904</v>
      </c>
      <c r="B104" t="s">
        <v>41</v>
      </c>
      <c r="C104" t="s">
        <v>42</v>
      </c>
      <c r="D104">
        <v>3</v>
      </c>
      <c r="E104" s="1">
        <v>0.107055164511377</v>
      </c>
      <c r="F104" s="1">
        <v>0.104786710798345</v>
      </c>
      <c r="G104" s="1">
        <v>0.2</v>
      </c>
      <c r="H104" s="1">
        <v>1</v>
      </c>
      <c r="I104" s="1">
        <v>0.6</v>
      </c>
      <c r="J104" t="s">
        <v>102</v>
      </c>
      <c r="K104" s="3">
        <v>26987.5851310272</v>
      </c>
      <c r="L104" s="4">
        <v>-0.0505869083921634</v>
      </c>
      <c r="M104" s="4">
        <v>0.145364286253344</v>
      </c>
      <c r="N104" s="4">
        <v>-0.0162660254630797</v>
      </c>
      <c r="O104" s="4">
        <v>0.161630311716423</v>
      </c>
      <c r="P104" s="4">
        <v>0.001574424</v>
      </c>
      <c r="Q104" t="s">
        <v>102</v>
      </c>
      <c r="R104" s="3">
        <v>26987.5851310272</v>
      </c>
      <c r="S104" s="4">
        <v>-0.0505869083921634</v>
      </c>
      <c r="T104" s="4">
        <v>0.145364286253344</v>
      </c>
      <c r="U104" s="4">
        <v>-0.0162660254630797</v>
      </c>
      <c r="V104" s="4">
        <v>0.161630311716423</v>
      </c>
      <c r="W104" s="4">
        <v>0.001574424</v>
      </c>
    </row>
    <row r="105" spans="1:23" x14ac:dyDescent="0.25">
      <c r="A105">
        <v>90925</v>
      </c>
      <c r="B105" t="s">
        <v>105</v>
      </c>
      <c r="C105" t="s">
        <v>106</v>
      </c>
      <c r="D105">
        <v>3</v>
      </c>
      <c r="E105" s="1">
        <v>0.0313497822931785</v>
      </c>
      <c r="F105" s="1">
        <v>-0.177745449036621</v>
      </c>
      <c r="G105" s="1">
        <v>1</v>
      </c>
      <c r="H105" s="1">
        <v>0.2</v>
      </c>
      <c r="I105" s="1">
        <v>0.6</v>
      </c>
      <c r="J105" t="s">
        <v>102</v>
      </c>
      <c r="K105" s="3">
        <v>10373.956940731</v>
      </c>
      <c r="L105" s="4">
        <v>-0.0635865126589663</v>
      </c>
      <c r="M105" s="4">
        <v>-0.0576453861057849</v>
      </c>
      <c r="N105" s="4">
        <v>-0.0162660254630797</v>
      </c>
      <c r="O105" s="4">
        <v>-0.0413793606427052</v>
      </c>
      <c r="P105" s="4">
        <v>0.001574424</v>
      </c>
      <c r="Q105" t="s">
        <v>102</v>
      </c>
      <c r="R105" s="3">
        <v>10373.956940731</v>
      </c>
      <c r="S105" s="4">
        <v>-0.0635865126589663</v>
      </c>
      <c r="T105" s="4">
        <v>-0.0576453861057849</v>
      </c>
      <c r="U105" s="4">
        <v>-0.0162660254630797</v>
      </c>
      <c r="V105" s="4">
        <v>-0.0413793606427052</v>
      </c>
      <c r="W105" s="4">
        <v>0.001574424</v>
      </c>
    </row>
    <row r="106" spans="1:23" x14ac:dyDescent="0.25">
      <c r="A106">
        <v>26710</v>
      </c>
      <c r="B106" t="s">
        <v>61</v>
      </c>
      <c r="C106" t="s">
        <v>62</v>
      </c>
      <c r="D106">
        <v>3</v>
      </c>
      <c r="E106" s="1">
        <v>0.059971442170395</v>
      </c>
      <c r="F106" s="1">
        <v>-0.184195039611542</v>
      </c>
      <c r="G106" s="1">
        <v>0.8</v>
      </c>
      <c r="H106" s="1">
        <v>0.2</v>
      </c>
      <c r="I106" s="1">
        <v>0.5</v>
      </c>
      <c r="J106" t="s">
        <v>102</v>
      </c>
      <c r="K106" s="3">
        <v>14301.727646656</v>
      </c>
      <c r="L106" s="4">
        <v>-0.0483624526672424</v>
      </c>
      <c r="M106" s="4">
        <v>0.015676752112967</v>
      </c>
      <c r="N106" s="4">
        <v>-0.0162660254630797</v>
      </c>
      <c r="O106" s="4">
        <v>0.0319427775760467</v>
      </c>
      <c r="P106" s="4">
        <v>0.001574424</v>
      </c>
      <c r="Q106" t="s">
        <v>102</v>
      </c>
      <c r="R106" s="3">
        <v>14301.727646656</v>
      </c>
      <c r="S106" s="4">
        <v>-0.0483624526672424</v>
      </c>
      <c r="T106" s="4">
        <v>0.015676752112967</v>
      </c>
      <c r="U106" s="4">
        <v>-0.0162660254630797</v>
      </c>
      <c r="V106" s="4">
        <v>0.0319427775760467</v>
      </c>
      <c r="W106" s="4">
        <v>0.001574424</v>
      </c>
    </row>
    <row r="107" spans="1:23" x14ac:dyDescent="0.25">
      <c r="A107">
        <v>60687</v>
      </c>
      <c r="B107" t="s">
        <v>83</v>
      </c>
      <c r="C107" t="s">
        <v>84</v>
      </c>
      <c r="D107">
        <v>3</v>
      </c>
      <c r="E107" s="1">
        <v>0.083498023715415</v>
      </c>
      <c r="F107" s="1">
        <v>-0.0469708926707241</v>
      </c>
      <c r="G107" s="1">
        <v>0.6</v>
      </c>
      <c r="H107" s="1">
        <v>0.4</v>
      </c>
      <c r="I107" s="1">
        <v>0.5</v>
      </c>
      <c r="J107" t="s">
        <v>102</v>
      </c>
      <c r="K107" s="3">
        <v>5717.60144048309</v>
      </c>
      <c r="L107" s="4">
        <v>0.118421052631579</v>
      </c>
      <c r="M107" s="4">
        <v>0.188267853213481</v>
      </c>
      <c r="N107" s="4">
        <v>-0.0162660254630797</v>
      </c>
      <c r="O107" s="4">
        <v>0.204533878676561</v>
      </c>
      <c r="P107" s="4">
        <v>0.001574424</v>
      </c>
      <c r="Q107" t="s">
        <v>102</v>
      </c>
      <c r="R107" s="3">
        <v>5717.60144048309</v>
      </c>
      <c r="S107" s="4">
        <v>0.118421052631579</v>
      </c>
      <c r="T107" s="4">
        <v>0.188267853213481</v>
      </c>
      <c r="U107" s="4">
        <v>-0.0162660254630797</v>
      </c>
      <c r="V107" s="4">
        <v>0.204533878676561</v>
      </c>
      <c r="W107" s="4">
        <v>0.001574424</v>
      </c>
    </row>
    <row r="108" spans="1:23" x14ac:dyDescent="0.25">
      <c r="A108">
        <v>71271</v>
      </c>
      <c r="B108" t="s">
        <v>93</v>
      </c>
      <c r="C108" t="s">
        <v>94</v>
      </c>
      <c r="D108">
        <v>3</v>
      </c>
      <c r="E108" s="1">
        <v>0.0893203883495146</v>
      </c>
      <c r="F108" s="1">
        <v>-0.0232451819638508</v>
      </c>
      <c r="G108" s="1">
        <v>0.4</v>
      </c>
      <c r="H108" s="1">
        <v>0.6</v>
      </c>
      <c r="I108" s="1">
        <v>0.5</v>
      </c>
      <c r="J108" t="s">
        <v>102</v>
      </c>
      <c r="K108" s="3">
        <v>7500.16015625</v>
      </c>
      <c r="L108" s="4">
        <v>0.0643784753311964</v>
      </c>
      <c r="M108" s="4">
        <v>0.146166008117419</v>
      </c>
      <c r="N108" s="4">
        <v>-0.0162660254630797</v>
      </c>
      <c r="O108" s="4">
        <v>0.162432033580498</v>
      </c>
      <c r="P108" s="4">
        <v>0.001574424</v>
      </c>
      <c r="Q108" t="s">
        <v>102</v>
      </c>
      <c r="R108" s="3">
        <v>7500.16015625</v>
      </c>
      <c r="S108" s="4">
        <v>0.0643784753311964</v>
      </c>
      <c r="T108" s="4">
        <v>0.146166008117419</v>
      </c>
      <c r="U108" s="4">
        <v>-0.0162660254630797</v>
      </c>
      <c r="V108" s="4">
        <v>0.162432033580498</v>
      </c>
      <c r="W108" s="4">
        <v>0.001574424</v>
      </c>
    </row>
    <row r="109" spans="1:23" x14ac:dyDescent="0.25">
      <c r="A109">
        <v>76804</v>
      </c>
      <c r="B109" t="s">
        <v>107</v>
      </c>
      <c r="C109" t="s">
        <v>108</v>
      </c>
      <c r="D109">
        <v>3</v>
      </c>
      <c r="E109" s="1">
        <v>0.0793991416309013</v>
      </c>
      <c r="F109" s="1">
        <v>-0.0530917463337189</v>
      </c>
      <c r="G109" s="1">
        <v>0.6</v>
      </c>
      <c r="H109" s="1">
        <v>0.4</v>
      </c>
      <c r="I109" s="1">
        <v>0.5</v>
      </c>
      <c r="J109" t="s">
        <v>102</v>
      </c>
      <c r="K109" s="3">
        <v>3865.0918588686</v>
      </c>
      <c r="L109" s="4">
        <v>-0.0931640747136665</v>
      </c>
      <c r="M109" s="4">
        <v>-0.350230416050886</v>
      </c>
      <c r="N109" s="4">
        <v>-0.0162660254630797</v>
      </c>
      <c r="O109" s="4">
        <v>-0.333964390587806</v>
      </c>
      <c r="P109" s="4">
        <v>0.001574424</v>
      </c>
      <c r="Q109" t="s">
        <v>102</v>
      </c>
      <c r="R109" s="3">
        <v>3865.0918588686</v>
      </c>
      <c r="S109" s="4">
        <v>-0.0931640747136665</v>
      </c>
      <c r="T109" s="4">
        <v>-0.350230416050886</v>
      </c>
      <c r="U109" s="4">
        <v>-0.0162660254630797</v>
      </c>
      <c r="V109" s="4">
        <v>-0.333964390587806</v>
      </c>
      <c r="W109" s="4">
        <v>0.001574424</v>
      </c>
    </row>
    <row r="110" spans="1:23" x14ac:dyDescent="0.25">
      <c r="A110">
        <v>78038</v>
      </c>
      <c r="B110" t="s">
        <v>109</v>
      </c>
      <c r="C110" t="s">
        <v>110</v>
      </c>
      <c r="D110">
        <v>3</v>
      </c>
      <c r="E110" s="1">
        <v>0.408492822966507</v>
      </c>
      <c r="F110" s="1">
        <v>0.0894948818883748</v>
      </c>
      <c r="G110" s="1">
        <v>0.2</v>
      </c>
      <c r="H110" s="1">
        <v>0.8</v>
      </c>
      <c r="I110" s="1">
        <v>0.5</v>
      </c>
      <c r="J110" t="s">
        <v>102</v>
      </c>
      <c r="K110" s="3">
        <v>3591.03924381256</v>
      </c>
      <c r="L110" s="4">
        <v>0.413311426941436</v>
      </c>
      <c r="M110" s="4">
        <v>-0.306959954820849</v>
      </c>
      <c r="N110" s="4">
        <v>-0.0162660254630797</v>
      </c>
      <c r="O110" s="4">
        <v>-0.290693929357769</v>
      </c>
      <c r="P110" s="4">
        <v>0.001574424</v>
      </c>
      <c r="Q110" t="s">
        <v>102</v>
      </c>
      <c r="R110" s="3">
        <v>3591.03924381256</v>
      </c>
      <c r="S110" s="4">
        <v>0.413311426941436</v>
      </c>
      <c r="T110" s="4">
        <v>-0.306959954820849</v>
      </c>
      <c r="U110" s="4">
        <v>-0.0162660254630797</v>
      </c>
      <c r="V110" s="4">
        <v>-0.290693929357769</v>
      </c>
      <c r="W110" s="4">
        <v>0.001574424</v>
      </c>
    </row>
    <row r="111" spans="1:23" x14ac:dyDescent="0.25">
      <c r="A111">
        <v>92655</v>
      </c>
      <c r="B111" t="s">
        <v>91</v>
      </c>
      <c r="C111" t="s">
        <v>92</v>
      </c>
      <c r="D111">
        <v>3</v>
      </c>
      <c r="E111" s="1">
        <v>0.0571767731724206</v>
      </c>
      <c r="F111" s="1">
        <v>-0.31027232515142</v>
      </c>
      <c r="G111" s="1">
        <v>0.8</v>
      </c>
      <c r="H111" s="1">
        <v>0.2</v>
      </c>
      <c r="I111" s="1">
        <v>0.5</v>
      </c>
      <c r="J111" t="s">
        <v>102</v>
      </c>
      <c r="K111" s="3">
        <v>116132.288</v>
      </c>
      <c r="L111" s="4">
        <v>0.0651895272228527</v>
      </c>
      <c r="M111" s="4">
        <v>0.130474297109181</v>
      </c>
      <c r="N111" s="4">
        <v>-0.0162660254630797</v>
      </c>
      <c r="O111" s="4">
        <v>0.14674032257226</v>
      </c>
      <c r="P111" s="4">
        <v>0.001574424</v>
      </c>
      <c r="Q111" t="s">
        <v>102</v>
      </c>
      <c r="R111" s="3">
        <v>116132.288</v>
      </c>
      <c r="S111" s="4">
        <v>0.0651895272228527</v>
      </c>
      <c r="T111" s="4">
        <v>0.130474297109181</v>
      </c>
      <c r="U111" s="4">
        <v>-0.0162660254630797</v>
      </c>
      <c r="V111" s="4">
        <v>0.14674032257226</v>
      </c>
      <c r="W111" s="4">
        <v>0.001574424</v>
      </c>
    </row>
    <row r="112" spans="1:23" x14ac:dyDescent="0.25">
      <c r="A112">
        <v>47626</v>
      </c>
      <c r="B112" t="s">
        <v>77</v>
      </c>
      <c r="C112" t="s">
        <v>78</v>
      </c>
      <c r="D112">
        <v>3</v>
      </c>
      <c r="E112" s="1">
        <v>0.0849909584086799</v>
      </c>
      <c r="F112" s="1">
        <v>-0.178905541057682</v>
      </c>
      <c r="G112" s="1">
        <v>0.6</v>
      </c>
      <c r="H112" s="1">
        <v>0.2</v>
      </c>
      <c r="I112" s="1">
        <v>0.4</v>
      </c>
      <c r="J112" t="s">
        <v>102</v>
      </c>
      <c r="K112" s="3">
        <v>10326.0612025833</v>
      </c>
      <c r="L112" s="4">
        <v>-0.0241150900434693</v>
      </c>
      <c r="M112" s="4">
        <v>-0.0643054462316321</v>
      </c>
      <c r="N112" s="4">
        <v>-0.0162660254630797</v>
      </c>
      <c r="O112" s="4">
        <v>-0.0480394207685525</v>
      </c>
      <c r="P112" s="4">
        <v>0.001574424</v>
      </c>
      <c r="Q112" t="s">
        <v>102</v>
      </c>
      <c r="R112" s="3">
        <v>10326.0612025833</v>
      </c>
      <c r="S112" s="4">
        <v>-0.0241150900434693</v>
      </c>
      <c r="T112" s="4">
        <v>-0.0643054462316321</v>
      </c>
      <c r="U112" s="4">
        <v>-0.0162660254630797</v>
      </c>
      <c r="V112" s="4">
        <v>-0.0480394207685525</v>
      </c>
      <c r="W112" s="4">
        <v>0.001574424</v>
      </c>
    </row>
    <row r="113" spans="1:23" x14ac:dyDescent="0.25">
      <c r="A113">
        <v>49015</v>
      </c>
      <c r="B113" t="s">
        <v>81</v>
      </c>
      <c r="C113" t="s">
        <v>82</v>
      </c>
      <c r="D113">
        <v>3</v>
      </c>
      <c r="E113" s="1">
        <v>0.100745621640368</v>
      </c>
      <c r="F113" s="1">
        <v>-0.10279783196902</v>
      </c>
      <c r="G113" s="1">
        <v>0.4</v>
      </c>
      <c r="H113" s="1">
        <v>0.4</v>
      </c>
      <c r="I113" s="1">
        <v>0.4</v>
      </c>
      <c r="J113" t="s">
        <v>102</v>
      </c>
      <c r="K113" s="3">
        <v>14983.9631488647</v>
      </c>
      <c r="L113" s="4">
        <v>0.129681056972145</v>
      </c>
      <c r="M113" s="4">
        <v>-0.180059267616769</v>
      </c>
      <c r="N113" s="4">
        <v>-0.0162660254630797</v>
      </c>
      <c r="O113" s="4">
        <v>-0.16379324215369</v>
      </c>
      <c r="P113" s="4">
        <v>0.001574424</v>
      </c>
      <c r="Q113" t="s">
        <v>102</v>
      </c>
      <c r="R113" s="3">
        <v>14983.9631488647</v>
      </c>
      <c r="S113" s="4">
        <v>0.129681056972145</v>
      </c>
      <c r="T113" s="4">
        <v>-0.180059267616769</v>
      </c>
      <c r="U113" s="4">
        <v>-0.0162660254630797</v>
      </c>
      <c r="V113" s="4">
        <v>-0.16379324215369</v>
      </c>
      <c r="W113" s="4">
        <v>0.001574424</v>
      </c>
    </row>
    <row r="114" spans="1:23" x14ac:dyDescent="0.25">
      <c r="A114">
        <v>59459</v>
      </c>
      <c r="B114" t="s">
        <v>63</v>
      </c>
      <c r="C114" t="s">
        <v>64</v>
      </c>
      <c r="D114">
        <v>3</v>
      </c>
      <c r="E114" s="1">
        <v>0.102220122815305</v>
      </c>
      <c r="F114" s="1">
        <v>0.0432213989034279</v>
      </c>
      <c r="G114" s="1">
        <v>0.2</v>
      </c>
      <c r="H114" s="1">
        <v>0.6</v>
      </c>
      <c r="I114" s="1">
        <v>0.4</v>
      </c>
      <c r="J114" t="s">
        <v>102</v>
      </c>
      <c r="K114" s="3">
        <v>30805.3498471069</v>
      </c>
      <c r="L114" s="4">
        <v>0.0370485557672122</v>
      </c>
      <c r="M114" s="4">
        <v>0.155025301763889</v>
      </c>
      <c r="N114" s="4">
        <v>-0.0162660254630797</v>
      </c>
      <c r="O114" s="4">
        <v>0.171291327226969</v>
      </c>
      <c r="P114" s="4">
        <v>0.001574424</v>
      </c>
      <c r="Q114" t="s">
        <v>102</v>
      </c>
      <c r="R114" s="3">
        <v>30805.3498471069</v>
      </c>
      <c r="S114" s="4">
        <v>0.0370485557672122</v>
      </c>
      <c r="T114" s="4">
        <v>0.155025301763889</v>
      </c>
      <c r="U114" s="4">
        <v>-0.0162660254630797</v>
      </c>
      <c r="V114" s="4">
        <v>0.171291327226969</v>
      </c>
      <c r="W114" s="4">
        <v>0.001574424</v>
      </c>
    </row>
    <row r="115" spans="1:23" x14ac:dyDescent="0.25">
      <c r="A115">
        <v>66800</v>
      </c>
      <c r="B115" t="s">
        <v>87</v>
      </c>
      <c r="C115" t="s">
        <v>88</v>
      </c>
      <c r="D115">
        <v>3</v>
      </c>
      <c r="E115" s="1">
        <v>0.094804499196572</v>
      </c>
      <c r="F115" s="1">
        <v>-0.100252041718591</v>
      </c>
      <c r="G115" s="1">
        <v>0.4</v>
      </c>
      <c r="H115" s="1">
        <v>0.4</v>
      </c>
      <c r="I115" s="1">
        <v>0.4</v>
      </c>
      <c r="J115" t="s">
        <v>102</v>
      </c>
      <c r="K115" s="3">
        <v>82430.4784930801</v>
      </c>
      <c r="L115" s="4">
        <v>-0.0648756957328386</v>
      </c>
      <c r="M115" s="4">
        <v>0.00482501164538673</v>
      </c>
      <c r="N115" s="4">
        <v>-0.0162660254630797</v>
      </c>
      <c r="O115" s="4">
        <v>0.0210910371084664</v>
      </c>
      <c r="P115" s="4">
        <v>0.001574424</v>
      </c>
      <c r="Q115" t="s">
        <v>102</v>
      </c>
      <c r="R115" s="3">
        <v>82430.4784930801</v>
      </c>
      <c r="S115" s="4">
        <v>-0.0648756957328386</v>
      </c>
      <c r="T115" s="4">
        <v>0.00482501164538673</v>
      </c>
      <c r="U115" s="4">
        <v>-0.0162660254630797</v>
      </c>
      <c r="V115" s="4">
        <v>0.0210910371084664</v>
      </c>
      <c r="W115" s="4">
        <v>0.001574424</v>
      </c>
    </row>
    <row r="116" spans="1:23" x14ac:dyDescent="0.25">
      <c r="A116">
        <v>13904</v>
      </c>
      <c r="B116" t="s">
        <v>111</v>
      </c>
      <c r="C116" t="s">
        <v>112</v>
      </c>
      <c r="D116">
        <v>3</v>
      </c>
      <c r="E116" s="1">
        <v>0.214487966021708</v>
      </c>
      <c r="F116" s="1">
        <v>-0.0462430432603841</v>
      </c>
      <c r="G116" s="1">
        <v>0.2</v>
      </c>
      <c r="H116" s="1">
        <v>0.4</v>
      </c>
      <c r="I116" s="1">
        <v>0.3</v>
      </c>
      <c r="J116" t="s">
        <v>102</v>
      </c>
      <c r="K116" s="3">
        <v>10639.9108894958</v>
      </c>
      <c r="L116" s="4">
        <v>0.27623825174422</v>
      </c>
      <c r="M116" s="4">
        <v>-0.273959205489726</v>
      </c>
      <c r="N116" s="4">
        <v>-0.0162660254630797</v>
      </c>
      <c r="O116" s="4">
        <v>-0.257693180026646</v>
      </c>
      <c r="P116" s="4">
        <v>0.001574424</v>
      </c>
      <c r="Q116" t="s">
        <v>102</v>
      </c>
      <c r="R116" s="3">
        <v>10639.9108894958</v>
      </c>
      <c r="S116" s="4">
        <v>0.27623825174422</v>
      </c>
      <c r="T116" s="4">
        <v>-0.273959205489726</v>
      </c>
      <c r="U116" s="4">
        <v>-0.0162660254630797</v>
      </c>
      <c r="V116" s="4">
        <v>-0.257693180026646</v>
      </c>
      <c r="W116" s="4">
        <v>0.001574424</v>
      </c>
    </row>
    <row r="117" spans="1:23" x14ac:dyDescent="0.25">
      <c r="A117">
        <v>17743</v>
      </c>
      <c r="B117" t="s">
        <v>75</v>
      </c>
      <c r="C117" t="s">
        <v>76</v>
      </c>
      <c r="D117">
        <v>3</v>
      </c>
      <c r="E117" s="1">
        <v>0.0989075302380023</v>
      </c>
      <c r="F117" s="1">
        <v>-0.138956336554521</v>
      </c>
      <c r="G117" s="1">
        <v>0.4</v>
      </c>
      <c r="H117" s="1">
        <v>0.2</v>
      </c>
      <c r="I117" s="1">
        <v>0.3</v>
      </c>
      <c r="J117" t="s">
        <v>102</v>
      </c>
      <c r="K117" s="3">
        <v>6482.94123809814</v>
      </c>
      <c r="L117" s="4">
        <v>0.103528690759652</v>
      </c>
      <c r="M117" s="4">
        <v>0.174164122591026</v>
      </c>
      <c r="N117" s="4">
        <v>-0.0162660254630797</v>
      </c>
      <c r="O117" s="4">
        <v>0.190430148054106</v>
      </c>
      <c r="P117" s="4">
        <v>0.001574424</v>
      </c>
      <c r="Q117" t="s">
        <v>102</v>
      </c>
      <c r="R117" s="3">
        <v>6482.94123809814</v>
      </c>
      <c r="S117" s="4">
        <v>0.103528690759652</v>
      </c>
      <c r="T117" s="4">
        <v>0.174164122591026</v>
      </c>
      <c r="U117" s="4">
        <v>-0.0162660254630797</v>
      </c>
      <c r="V117" s="4">
        <v>0.190430148054106</v>
      </c>
      <c r="W117" s="4">
        <v>0.001574424</v>
      </c>
    </row>
    <row r="118" spans="1:23" x14ac:dyDescent="0.25">
      <c r="A118">
        <v>79210</v>
      </c>
      <c r="B118" t="s">
        <v>95</v>
      </c>
      <c r="C118" t="s">
        <v>96</v>
      </c>
      <c r="D118">
        <v>3</v>
      </c>
      <c r="E118" s="1">
        <v>0.112759643916914</v>
      </c>
      <c r="F118" s="1">
        <v>-0.0521669700602271</v>
      </c>
      <c r="G118" s="1">
        <v>0.2</v>
      </c>
      <c r="H118" s="1">
        <v>0.4</v>
      </c>
      <c r="I118" s="1">
        <v>0.3</v>
      </c>
      <c r="J118" t="s">
        <v>102</v>
      </c>
      <c r="K118" s="3">
        <v>6280.01470181274</v>
      </c>
      <c r="L118" s="4">
        <v>0.0615611778485408</v>
      </c>
      <c r="M118" s="4">
        <v>0.0767444979903062</v>
      </c>
      <c r="N118" s="4">
        <v>-0.0162660254630797</v>
      </c>
      <c r="O118" s="4">
        <v>0.0930105234533859</v>
      </c>
      <c r="P118" s="4">
        <v>0.001574424</v>
      </c>
      <c r="Q118" t="s">
        <v>102</v>
      </c>
      <c r="R118" s="3">
        <v>6280.01470181274</v>
      </c>
      <c r="S118" s="4">
        <v>0.0615611778485408</v>
      </c>
      <c r="T118" s="4">
        <v>0.0767444979903062</v>
      </c>
      <c r="U118" s="4">
        <v>-0.0162660254630797</v>
      </c>
      <c r="V118" s="4">
        <v>0.0930105234533859</v>
      </c>
      <c r="W118" s="4">
        <v>0.001574424</v>
      </c>
    </row>
    <row r="119" spans="1:23" x14ac:dyDescent="0.25">
      <c r="A119">
        <v>87842</v>
      </c>
      <c r="B119" t="s">
        <v>51</v>
      </c>
      <c r="C119" t="s">
        <v>52</v>
      </c>
      <c r="D119">
        <v>3</v>
      </c>
      <c r="E119" s="1">
        <v>0.101312627102977</v>
      </c>
      <c r="F119" s="1">
        <v>-0.118451435082442</v>
      </c>
      <c r="G119" s="1">
        <v>0.4</v>
      </c>
      <c r="H119" s="1">
        <v>0.2</v>
      </c>
      <c r="I119" s="1">
        <v>0.3</v>
      </c>
      <c r="J119" t="s">
        <v>102</v>
      </c>
      <c r="K119" s="3">
        <v>62474.7076828651</v>
      </c>
      <c r="L119" s="4">
        <v>0.0900322016203738</v>
      </c>
      <c r="M119" s="4">
        <v>-0.0992003685178094</v>
      </c>
      <c r="N119" s="4">
        <v>-0.0162660254630797</v>
      </c>
      <c r="O119" s="4">
        <v>-0.0829343430547298</v>
      </c>
      <c r="P119" s="4">
        <v>0.001574424</v>
      </c>
      <c r="Q119" t="s">
        <v>102</v>
      </c>
      <c r="R119" s="3">
        <v>62474.7076828651</v>
      </c>
      <c r="S119" s="4">
        <v>0.0900322016203738</v>
      </c>
      <c r="T119" s="4">
        <v>-0.0992003685178094</v>
      </c>
      <c r="U119" s="4">
        <v>-0.0162660254630797</v>
      </c>
      <c r="V119" s="4">
        <v>-0.0829343430547298</v>
      </c>
      <c r="W119" s="4">
        <v>0.001574424</v>
      </c>
    </row>
    <row r="120" spans="1:23" x14ac:dyDescent="0.25">
      <c r="A120">
        <v>13919</v>
      </c>
      <c r="B120" t="s">
        <v>113</v>
      </c>
      <c r="C120" t="s">
        <v>114</v>
      </c>
      <c r="D120">
        <v>3</v>
      </c>
      <c r="E120" s="1">
        <v>0.437959183673469</v>
      </c>
      <c r="F120" s="1">
        <v>-0.141536254426195</v>
      </c>
      <c r="G120" s="1">
        <v>0.2</v>
      </c>
      <c r="H120" s="1">
        <v>0.2</v>
      </c>
      <c r="I120" s="1">
        <v>0.2</v>
      </c>
      <c r="J120" t="s">
        <v>102</v>
      </c>
      <c r="K120" s="3">
        <v>748.866532531738</v>
      </c>
      <c r="L120" s="4">
        <v>-0.661506553630792</v>
      </c>
      <c r="M120" s="4">
        <v>-0.294696297619165</v>
      </c>
      <c r="N120" s="4">
        <v>-0.0162660254630797</v>
      </c>
      <c r="O120" s="4">
        <v>-0.278430272156085</v>
      </c>
      <c r="P120" s="4">
        <v>0.001574424</v>
      </c>
      <c r="Q120" t="s">
        <v>102</v>
      </c>
      <c r="R120" s="3">
        <v>748.866532531738</v>
      </c>
      <c r="S120" s="4">
        <v>-0.661506553630792</v>
      </c>
      <c r="T120" s="4">
        <v>-0.294696297619165</v>
      </c>
      <c r="U120" s="4">
        <v>-0.0162660254630797</v>
      </c>
      <c r="V120" s="4">
        <v>-0.278430272156085</v>
      </c>
      <c r="W120" s="4">
        <v>0.001574424</v>
      </c>
    </row>
    <row r="121" spans="1:23" x14ac:dyDescent="0.25">
      <c r="A121">
        <v>59396</v>
      </c>
      <c r="B121" t="s">
        <v>100</v>
      </c>
      <c r="C121" t="s">
        <v>101</v>
      </c>
      <c r="D121">
        <v>3</v>
      </c>
      <c r="E121" s="1">
        <v>0.107997265892003</v>
      </c>
      <c r="F121" s="1">
        <v>-0.107368795740467</v>
      </c>
      <c r="G121" s="1">
        <v>0.2</v>
      </c>
      <c r="H121" s="1">
        <v>0.2</v>
      </c>
      <c r="I121" s="1">
        <v>0.2</v>
      </c>
      <c r="J121" t="s">
        <v>102</v>
      </c>
      <c r="K121" s="3">
        <v>4081.97771988773</v>
      </c>
      <c r="L121" s="4">
        <v>0.0161684458081467</v>
      </c>
      <c r="M121" s="4">
        <v>0.294572820459224</v>
      </c>
      <c r="N121" s="4">
        <v>-0.0162660254630797</v>
      </c>
      <c r="O121" s="4">
        <v>0.310838845922304</v>
      </c>
      <c r="P121" s="4">
        <v>0.001574424</v>
      </c>
      <c r="Q121" t="s">
        <v>102</v>
      </c>
      <c r="R121" s="3">
        <v>4081.97771988773</v>
      </c>
      <c r="S121" s="4">
        <v>0.0161684458081467</v>
      </c>
      <c r="T121" s="4">
        <v>0.294572820459224</v>
      </c>
      <c r="U121" s="4">
        <v>-0.0162660254630797</v>
      </c>
      <c r="V121" s="4">
        <v>0.310838845922304</v>
      </c>
      <c r="W121" s="4">
        <v>0.001574424</v>
      </c>
    </row>
    <row r="122" spans="1:23" x14ac:dyDescent="0.25">
      <c r="A122">
        <v>75175</v>
      </c>
      <c r="B122" t="s">
        <v>71</v>
      </c>
      <c r="C122" t="s">
        <v>72</v>
      </c>
      <c r="D122">
        <v>3</v>
      </c>
      <c r="E122" s="1">
        <v>0.308176100628931</v>
      </c>
      <c r="F122" s="1">
        <v>-0.127891160373196</v>
      </c>
      <c r="G122" s="1">
        <v>0.2</v>
      </c>
      <c r="H122" s="1">
        <v>0.2</v>
      </c>
      <c r="I122" s="1">
        <v>0.2</v>
      </c>
      <c r="J122" t="s">
        <v>102</v>
      </c>
      <c r="K122" s="3">
        <v>1091.83073158073</v>
      </c>
      <c r="L122" s="4">
        <v>0.234131113423517</v>
      </c>
      <c r="M122" s="4">
        <v>-0.201773897154861</v>
      </c>
      <c r="N122" s="4">
        <v>-0.0162660254630797</v>
      </c>
      <c r="O122" s="4">
        <v>-0.185507871691781</v>
      </c>
      <c r="P122" s="4">
        <v>0.001574424</v>
      </c>
      <c r="Q122" t="s">
        <v>102</v>
      </c>
      <c r="R122" s="3">
        <v>1091.83073158073</v>
      </c>
      <c r="S122" s="4">
        <v>0.234131113423517</v>
      </c>
      <c r="T122" s="4">
        <v>-0.201773897154861</v>
      </c>
      <c r="U122" s="4">
        <v>-0.0162660254630797</v>
      </c>
      <c r="V122" s="4">
        <v>-0.185507871691781</v>
      </c>
      <c r="W122" s="4">
        <v>0.001574424</v>
      </c>
    </row>
    <row r="123" spans="1:23" x14ac:dyDescent="0.25">
      <c r="A123">
        <v>52936</v>
      </c>
      <c r="B123" t="s">
        <v>29</v>
      </c>
      <c r="C123" t="s">
        <v>30</v>
      </c>
      <c r="D123">
        <v>4</v>
      </c>
      <c r="E123" s="1">
        <v>0.0289886192828001</v>
      </c>
      <c r="F123" s="1">
        <v>0.0962626946683707</v>
      </c>
      <c r="G123" s="1">
        <v>1</v>
      </c>
      <c r="H123" s="1">
        <v>1</v>
      </c>
      <c r="I123" s="1">
        <v>1</v>
      </c>
      <c r="J123" t="s">
        <v>115</v>
      </c>
      <c r="K123" s="3">
        <v>2937.30263156891</v>
      </c>
      <c r="L123" s="4">
        <v>-0.000821111019987216</v>
      </c>
      <c r="M123" s="4">
        <v>0.112358175693281</v>
      </c>
      <c r="N123" s="4">
        <v>0.171490325995757</v>
      </c>
      <c r="O123" s="4">
        <v>-0.059132150302476</v>
      </c>
      <c r="P123" s="4">
        <v>0.007678278</v>
      </c>
      <c r="Q123" t="s">
        <v>115</v>
      </c>
      <c r="R123" s="3">
        <v>2937.30263156891</v>
      </c>
      <c r="S123" s="4">
        <v>-0.000821111019987216</v>
      </c>
      <c r="T123" s="4">
        <v>0.112358175693281</v>
      </c>
      <c r="U123" s="4">
        <v>0.171490325995757</v>
      </c>
      <c r="V123" s="4">
        <v>-0.059132150302476</v>
      </c>
      <c r="W123" s="4">
        <v>0.007678278</v>
      </c>
    </row>
    <row r="124" spans="1:23" x14ac:dyDescent="0.25">
      <c r="A124">
        <v>90038</v>
      </c>
      <c r="B124" t="s">
        <v>73</v>
      </c>
      <c r="C124" t="s">
        <v>74</v>
      </c>
      <c r="D124">
        <v>4</v>
      </c>
      <c r="E124" s="1">
        <v>0.0258256766823938</v>
      </c>
      <c r="F124" s="1">
        <v>0.108219387697003</v>
      </c>
      <c r="G124" s="1">
        <v>1</v>
      </c>
      <c r="H124" s="1">
        <v>1</v>
      </c>
      <c r="I124" s="1">
        <v>1</v>
      </c>
      <c r="J124" t="s">
        <v>115</v>
      </c>
      <c r="K124" s="3">
        <v>5345.78231878662</v>
      </c>
      <c r="L124" s="4">
        <v>-0.00702508550420638</v>
      </c>
      <c r="M124" s="4">
        <v>0.146603613525155</v>
      </c>
      <c r="N124" s="4">
        <v>0.171490325995757</v>
      </c>
      <c r="O124" s="4">
        <v>-0.0248867124706016</v>
      </c>
      <c r="P124" s="4">
        <v>0.007678278</v>
      </c>
      <c r="Q124" t="s">
        <v>115</v>
      </c>
      <c r="R124" s="3">
        <v>5345.78231878662</v>
      </c>
      <c r="S124" s="4">
        <v>-0.00702508550420638</v>
      </c>
      <c r="T124" s="4">
        <v>0.146603613525155</v>
      </c>
      <c r="U124" s="4">
        <v>0.171490325995757</v>
      </c>
      <c r="V124" s="4">
        <v>-0.0248867124706016</v>
      </c>
      <c r="W124" s="4">
        <v>0.007678278</v>
      </c>
    </row>
    <row r="125" spans="1:23" x14ac:dyDescent="0.25">
      <c r="A125">
        <v>90272</v>
      </c>
      <c r="B125" t="s">
        <v>55</v>
      </c>
      <c r="C125" t="s">
        <v>56</v>
      </c>
      <c r="D125">
        <v>4</v>
      </c>
      <c r="E125" s="1">
        <v>0.0343945786983762</v>
      </c>
      <c r="F125" s="1">
        <v>0.123427680998004</v>
      </c>
      <c r="G125" s="1">
        <v>1</v>
      </c>
      <c r="H125" s="1">
        <v>1</v>
      </c>
      <c r="I125" s="1">
        <v>1</v>
      </c>
      <c r="J125" t="s">
        <v>115</v>
      </c>
      <c r="K125" s="3">
        <v>4747.35450598145</v>
      </c>
      <c r="L125" s="4">
        <v>0.0717829612882816</v>
      </c>
      <c r="M125" s="4">
        <v>0.693946031642714</v>
      </c>
      <c r="N125" s="4">
        <v>0.171490325995757</v>
      </c>
      <c r="O125" s="4">
        <v>0.522455705646957</v>
      </c>
      <c r="P125" s="4">
        <v>0.007678278</v>
      </c>
      <c r="Q125" t="s">
        <v>115</v>
      </c>
      <c r="R125" s="3">
        <v>4747.35450598145</v>
      </c>
      <c r="S125" s="4">
        <v>0.0717829612882816</v>
      </c>
      <c r="T125" s="4">
        <v>0.693946031642714</v>
      </c>
      <c r="U125" s="4">
        <v>0.171490325995757</v>
      </c>
      <c r="V125" s="4">
        <v>0.522455705646957</v>
      </c>
      <c r="W125" s="4">
        <v>0.007678278</v>
      </c>
    </row>
    <row r="126" spans="1:23" x14ac:dyDescent="0.25">
      <c r="A126">
        <v>93089</v>
      </c>
      <c r="B126" t="s">
        <v>37</v>
      </c>
      <c r="C126" t="s">
        <v>38</v>
      </c>
      <c r="D126">
        <v>4</v>
      </c>
      <c r="E126" s="1">
        <v>0.0399323621227888</v>
      </c>
      <c r="F126" s="1">
        <v>0.10891659617468</v>
      </c>
      <c r="G126" s="1">
        <v>1</v>
      </c>
      <c r="H126" s="1">
        <v>1</v>
      </c>
      <c r="I126" s="1">
        <v>1</v>
      </c>
      <c r="J126" t="s">
        <v>115</v>
      </c>
      <c r="K126" s="3">
        <v>13679.7368289337</v>
      </c>
      <c r="L126" s="4">
        <v>0.183934973201292</v>
      </c>
      <c r="M126" s="4">
        <v>0.0188940690055008</v>
      </c>
      <c r="N126" s="4">
        <v>0.171490325995757</v>
      </c>
      <c r="O126" s="4">
        <v>-0.152596256990256</v>
      </c>
      <c r="P126" s="4">
        <v>0.007678278</v>
      </c>
      <c r="Q126" t="s">
        <v>115</v>
      </c>
      <c r="R126" s="3">
        <v>13679.7368289337</v>
      </c>
      <c r="S126" s="4">
        <v>0.183934973201292</v>
      </c>
      <c r="T126" s="4">
        <v>0.0188940690055008</v>
      </c>
      <c r="U126" s="4">
        <v>0.171490325995757</v>
      </c>
      <c r="V126" s="4">
        <v>-0.152596256990256</v>
      </c>
      <c r="W126" s="4">
        <v>0.007678278</v>
      </c>
    </row>
    <row r="127" spans="1:23" x14ac:dyDescent="0.25">
      <c r="A127">
        <v>48653</v>
      </c>
      <c r="B127" t="s">
        <v>39</v>
      </c>
      <c r="C127" t="s">
        <v>40</v>
      </c>
      <c r="D127">
        <v>4</v>
      </c>
      <c r="E127" s="1">
        <v>0.0478404571172483</v>
      </c>
      <c r="F127" s="1">
        <v>0.439207412400269</v>
      </c>
      <c r="G127" s="1">
        <v>0.8</v>
      </c>
      <c r="H127" s="1">
        <v>1</v>
      </c>
      <c r="I127" s="1">
        <v>0.9</v>
      </c>
      <c r="J127" t="s">
        <v>115</v>
      </c>
      <c r="K127" s="3">
        <v>26808.7762877197</v>
      </c>
      <c r="L127" s="4">
        <v>0.119360824742268</v>
      </c>
      <c r="M127" s="4">
        <v>0.355405681108128</v>
      </c>
      <c r="N127" s="4">
        <v>0.171490325995757</v>
      </c>
      <c r="O127" s="4">
        <v>0.183915355112372</v>
      </c>
      <c r="P127" s="4">
        <v>0.007678278</v>
      </c>
      <c r="Q127" t="s">
        <v>115</v>
      </c>
      <c r="R127" s="3">
        <v>26808.7762877197</v>
      </c>
      <c r="S127" s="4">
        <v>0.119360824742268</v>
      </c>
      <c r="T127" s="4">
        <v>0.355405681108128</v>
      </c>
      <c r="U127" s="4">
        <v>0.171490325995757</v>
      </c>
      <c r="V127" s="4">
        <v>0.183915355112372</v>
      </c>
      <c r="W127" s="4">
        <v>0.007678278</v>
      </c>
    </row>
    <row r="128" spans="1:23" x14ac:dyDescent="0.25">
      <c r="A128">
        <v>66800</v>
      </c>
      <c r="B128" t="s">
        <v>87</v>
      </c>
      <c r="C128" t="s">
        <v>88</v>
      </c>
      <c r="D128">
        <v>4</v>
      </c>
      <c r="E128" s="1">
        <v>0.0272712602872358</v>
      </c>
      <c r="F128" s="1">
        <v>0.0407072862857774</v>
      </c>
      <c r="G128" s="1">
        <v>1</v>
      </c>
      <c r="H128" s="1">
        <v>0.8</v>
      </c>
      <c r="I128" s="1">
        <v>0.9</v>
      </c>
      <c r="J128" t="s">
        <v>115</v>
      </c>
      <c r="K128" s="3">
        <v>59185.6017969971</v>
      </c>
      <c r="L128" s="4">
        <v>-0.0823281061519903</v>
      </c>
      <c r="M128" s="4">
        <v>0.123134884636971</v>
      </c>
      <c r="N128" s="4">
        <v>0.171490325995757</v>
      </c>
      <c r="O128" s="4">
        <v>-0.0483554413587861</v>
      </c>
      <c r="P128" s="4">
        <v>0.007678278</v>
      </c>
      <c r="Q128" t="s">
        <v>115</v>
      </c>
      <c r="R128" s="3">
        <v>59185.6017969971</v>
      </c>
      <c r="S128" s="4">
        <v>-0.0823281061519903</v>
      </c>
      <c r="T128" s="4">
        <v>0.123134884636971</v>
      </c>
      <c r="U128" s="4">
        <v>0.171490325995757</v>
      </c>
      <c r="V128" s="4">
        <v>-0.0483554413587861</v>
      </c>
      <c r="W128" s="4">
        <v>0.007678278</v>
      </c>
    </row>
    <row r="129" spans="1:23" x14ac:dyDescent="0.25">
      <c r="A129">
        <v>78156</v>
      </c>
      <c r="B129" t="s">
        <v>116</v>
      </c>
      <c r="C129" t="s">
        <v>117</v>
      </c>
      <c r="D129">
        <v>4</v>
      </c>
      <c r="E129" s="1">
        <v>0.0226904376012966</v>
      </c>
      <c r="F129" s="1">
        <v>0.0700359431606682</v>
      </c>
      <c r="G129" s="1">
        <v>1</v>
      </c>
      <c r="H129" s="1">
        <v>0.8</v>
      </c>
      <c r="I129" s="1">
        <v>0.9</v>
      </c>
      <c r="J129" t="s">
        <v>115</v>
      </c>
      <c r="K129" s="3">
        <v>1486.95323153687</v>
      </c>
      <c r="L129" s="4">
        <v>0.0699215973828191</v>
      </c>
      <c r="M129" s="4">
        <v>0.102571849893609</v>
      </c>
      <c r="N129" s="4">
        <v>0.171490325995757</v>
      </c>
      <c r="O129" s="4">
        <v>-0.0689184761021473</v>
      </c>
      <c r="P129" s="4">
        <v>0.007678278</v>
      </c>
      <c r="Q129" t="s">
        <v>115</v>
      </c>
      <c r="R129" s="3">
        <v>1486.95323153687</v>
      </c>
      <c r="S129" s="4">
        <v>0.0699215973828191</v>
      </c>
      <c r="T129" s="4">
        <v>0.102571849893609</v>
      </c>
      <c r="U129" s="4">
        <v>0.171490325995757</v>
      </c>
      <c r="V129" s="4">
        <v>-0.0689184761021473</v>
      </c>
      <c r="W129" s="4">
        <v>0.007678278</v>
      </c>
    </row>
    <row r="130" spans="1:23" x14ac:dyDescent="0.25">
      <c r="A130">
        <v>82486</v>
      </c>
      <c r="B130" t="s">
        <v>47</v>
      </c>
      <c r="C130" t="s">
        <v>48</v>
      </c>
      <c r="D130">
        <v>4</v>
      </c>
      <c r="E130" s="1">
        <v>0.034922626516102</v>
      </c>
      <c r="F130" s="1">
        <v>0.0487416374332967</v>
      </c>
      <c r="G130" s="1">
        <v>1</v>
      </c>
      <c r="H130" s="1">
        <v>0.8</v>
      </c>
      <c r="I130" s="1">
        <v>0.9</v>
      </c>
      <c r="J130" t="s">
        <v>115</v>
      </c>
      <c r="K130" s="3">
        <v>4588.41509085083</v>
      </c>
      <c r="L130" s="4">
        <v>-0.749541174513392</v>
      </c>
      <c r="M130" s="4">
        <v>0.236879156673127</v>
      </c>
      <c r="N130" s="4">
        <v>0.171490325995757</v>
      </c>
      <c r="O130" s="4">
        <v>0.0653888306773704</v>
      </c>
      <c r="P130" s="4">
        <v>0.007678278</v>
      </c>
      <c r="Q130" t="s">
        <v>115</v>
      </c>
      <c r="R130" s="3">
        <v>4588.41509085083</v>
      </c>
      <c r="S130" s="4">
        <v>-0.749541174513392</v>
      </c>
      <c r="T130" s="4">
        <v>0.236879156673127</v>
      </c>
      <c r="U130" s="4">
        <v>0.171490325995757</v>
      </c>
      <c r="V130" s="4">
        <v>0.0653888306773704</v>
      </c>
      <c r="W130" s="4">
        <v>0.007678278</v>
      </c>
    </row>
    <row r="131" spans="1:23" x14ac:dyDescent="0.25">
      <c r="A131">
        <v>13904</v>
      </c>
      <c r="B131" t="s">
        <v>111</v>
      </c>
      <c r="C131" t="s">
        <v>112</v>
      </c>
      <c r="D131">
        <v>4</v>
      </c>
      <c r="E131" s="1">
        <v>0.0490382010295313</v>
      </c>
      <c r="F131" s="1">
        <v>0.0574082211761584</v>
      </c>
      <c r="G131" s="1">
        <v>0.8</v>
      </c>
      <c r="H131" s="1">
        <v>0.8</v>
      </c>
      <c r="I131" s="1">
        <v>0.8</v>
      </c>
      <c r="J131" t="s">
        <v>115</v>
      </c>
      <c r="K131" s="3">
        <v>5050.02488668251</v>
      </c>
      <c r="L131" s="4">
        <v>0.0247856219898979</v>
      </c>
      <c r="M131" s="4">
        <v>0.0413508611404603</v>
      </c>
      <c r="N131" s="4">
        <v>0.171490325995757</v>
      </c>
      <c r="O131" s="4">
        <v>-0.130139464855297</v>
      </c>
      <c r="P131" s="4">
        <v>0.007678278</v>
      </c>
      <c r="Q131" t="s">
        <v>115</v>
      </c>
      <c r="R131" s="3">
        <v>5050.02488668251</v>
      </c>
      <c r="S131" s="4">
        <v>0.0247856219898979</v>
      </c>
      <c r="T131" s="4">
        <v>0.0413508611404603</v>
      </c>
      <c r="U131" s="4">
        <v>0.171490325995757</v>
      </c>
      <c r="V131" s="4">
        <v>-0.130139464855297</v>
      </c>
      <c r="W131" s="4">
        <v>0.007678278</v>
      </c>
    </row>
    <row r="132" spans="1:23" x14ac:dyDescent="0.25">
      <c r="A132">
        <v>23473</v>
      </c>
      <c r="B132" t="s">
        <v>23</v>
      </c>
      <c r="C132" t="s">
        <v>24</v>
      </c>
      <c r="D132">
        <v>4</v>
      </c>
      <c r="E132" s="1">
        <v>0.0654047659286801</v>
      </c>
      <c r="F132" s="1">
        <v>0.101967705257219</v>
      </c>
      <c r="G132" s="1">
        <v>0.6</v>
      </c>
      <c r="H132" s="1">
        <v>1</v>
      </c>
      <c r="I132" s="1">
        <v>0.8</v>
      </c>
      <c r="J132" t="s">
        <v>115</v>
      </c>
      <c r="K132" s="3">
        <v>12319.4048995972</v>
      </c>
      <c r="L132" s="4">
        <v>0.0398382204246714</v>
      </c>
      <c r="M132" s="4">
        <v>0.0408391104398116</v>
      </c>
      <c r="N132" s="4">
        <v>0.171490325995757</v>
      </c>
      <c r="O132" s="4">
        <v>-0.130651215555945</v>
      </c>
      <c r="P132" s="4">
        <v>0.007678278</v>
      </c>
      <c r="Q132" t="s">
        <v>115</v>
      </c>
      <c r="R132" s="3">
        <v>12319.4048995972</v>
      </c>
      <c r="S132" s="4">
        <v>0.0398382204246714</v>
      </c>
      <c r="T132" s="4">
        <v>0.0408391104398116</v>
      </c>
      <c r="U132" s="4">
        <v>0.171490325995757</v>
      </c>
      <c r="V132" s="4">
        <v>-0.130651215555945</v>
      </c>
      <c r="W132" s="4">
        <v>0.007678278</v>
      </c>
    </row>
    <row r="133" spans="1:23" x14ac:dyDescent="0.25">
      <c r="A133">
        <v>64390</v>
      </c>
      <c r="B133" t="s">
        <v>16</v>
      </c>
      <c r="C133" t="s">
        <v>17</v>
      </c>
      <c r="D133">
        <v>4</v>
      </c>
      <c r="E133" s="1">
        <v>0.0679245283018868</v>
      </c>
      <c r="F133" s="1">
        <v>0.13159061800403</v>
      </c>
      <c r="G133" s="1">
        <v>0.6</v>
      </c>
      <c r="H133" s="1">
        <v>1</v>
      </c>
      <c r="I133" s="1">
        <v>0.8</v>
      </c>
      <c r="J133" t="s">
        <v>115</v>
      </c>
      <c r="K133" s="3">
        <v>19520.45</v>
      </c>
      <c r="L133" s="4">
        <v>0.0751704313810491</v>
      </c>
      <c r="M133" s="4">
        <v>0.296314535657453</v>
      </c>
      <c r="N133" s="4">
        <v>0.171490325995757</v>
      </c>
      <c r="O133" s="4">
        <v>0.124824209661696</v>
      </c>
      <c r="P133" s="4">
        <v>0.007678278</v>
      </c>
      <c r="Q133" t="s">
        <v>115</v>
      </c>
      <c r="R133" s="3">
        <v>19520.45</v>
      </c>
      <c r="S133" s="4">
        <v>0.0751704313810491</v>
      </c>
      <c r="T133" s="4">
        <v>0.296314535657453</v>
      </c>
      <c r="U133" s="4">
        <v>0.171490325995757</v>
      </c>
      <c r="V133" s="4">
        <v>0.124824209661696</v>
      </c>
      <c r="W133" s="4">
        <v>0.007678278</v>
      </c>
    </row>
    <row r="134" spans="1:23" x14ac:dyDescent="0.25">
      <c r="A134">
        <v>76136</v>
      </c>
      <c r="B134" t="s">
        <v>59</v>
      </c>
      <c r="C134" t="s">
        <v>60</v>
      </c>
      <c r="D134">
        <v>4</v>
      </c>
      <c r="E134" s="1">
        <v>0.0416107382550336</v>
      </c>
      <c r="F134" s="1">
        <v>-0.0203321227470856</v>
      </c>
      <c r="G134" s="1">
        <v>1</v>
      </c>
      <c r="H134" s="1">
        <v>0.6</v>
      </c>
      <c r="I134" s="1">
        <v>0.8</v>
      </c>
      <c r="J134" t="s">
        <v>115</v>
      </c>
      <c r="K134" s="3">
        <v>1584.10031659317</v>
      </c>
      <c r="L134" s="4">
        <v>0.0613457670506492</v>
      </c>
      <c r="M134" s="4">
        <v>0.209600099662249</v>
      </c>
      <c r="N134" s="4">
        <v>0.171490325995757</v>
      </c>
      <c r="O134" s="4">
        <v>0.0381097736664919</v>
      </c>
      <c r="P134" s="4">
        <v>0.007678278</v>
      </c>
      <c r="Q134" t="s">
        <v>115</v>
      </c>
      <c r="R134" s="3">
        <v>1584.10031659317</v>
      </c>
      <c r="S134" s="4">
        <v>0.0613457670506492</v>
      </c>
      <c r="T134" s="4">
        <v>0.209600099662249</v>
      </c>
      <c r="U134" s="4">
        <v>0.171490325995757</v>
      </c>
      <c r="V134" s="4">
        <v>0.0381097736664919</v>
      </c>
      <c r="W134" s="4">
        <v>0.007678278</v>
      </c>
    </row>
    <row r="135" spans="1:23" x14ac:dyDescent="0.25">
      <c r="A135">
        <v>88845</v>
      </c>
      <c r="B135" t="s">
        <v>53</v>
      </c>
      <c r="C135" t="s">
        <v>54</v>
      </c>
      <c r="D135">
        <v>4</v>
      </c>
      <c r="E135" s="1">
        <v>0.0632630410654828</v>
      </c>
      <c r="F135" s="1">
        <v>0.191507921538022</v>
      </c>
      <c r="G135" s="1">
        <v>0.6</v>
      </c>
      <c r="H135" s="1">
        <v>1</v>
      </c>
      <c r="I135" s="1">
        <v>0.8</v>
      </c>
      <c r="J135" t="s">
        <v>115</v>
      </c>
      <c r="K135" s="3">
        <v>42818.7770370483</v>
      </c>
      <c r="L135" s="4">
        <v>0.0383375399977933</v>
      </c>
      <c r="M135" s="4">
        <v>0.292580731081041</v>
      </c>
      <c r="N135" s="4">
        <v>0.171490325995757</v>
      </c>
      <c r="O135" s="4">
        <v>0.121090405085284</v>
      </c>
      <c r="P135" s="4">
        <v>0.007678278</v>
      </c>
      <c r="Q135" t="s">
        <v>115</v>
      </c>
      <c r="R135" s="3">
        <v>42818.7770370483</v>
      </c>
      <c r="S135" s="4">
        <v>0.0383375399977933</v>
      </c>
      <c r="T135" s="4">
        <v>0.292580731081041</v>
      </c>
      <c r="U135" s="4">
        <v>0.171490325995757</v>
      </c>
      <c r="V135" s="4">
        <v>0.121090405085284</v>
      </c>
      <c r="W135" s="4">
        <v>0.007678278</v>
      </c>
    </row>
    <row r="136" spans="1:23" x14ac:dyDescent="0.25">
      <c r="A136">
        <v>89179</v>
      </c>
      <c r="B136" t="s">
        <v>118</v>
      </c>
      <c r="C136" t="s">
        <v>119</v>
      </c>
      <c r="D136">
        <v>4</v>
      </c>
      <c r="E136" s="1">
        <v>0.0697791164658635</v>
      </c>
      <c r="F136" s="1">
        <v>0.133898942723229</v>
      </c>
      <c r="G136" s="1">
        <v>0.6</v>
      </c>
      <c r="H136" s="1">
        <v>1</v>
      </c>
      <c r="I136" s="1">
        <v>0.8</v>
      </c>
      <c r="J136" t="s">
        <v>115</v>
      </c>
      <c r="K136" s="3">
        <v>34536.2460570374</v>
      </c>
      <c r="L136" s="4">
        <v>0.0715054396601785</v>
      </c>
      <c r="M136" s="4">
        <v>0.405592147264113</v>
      </c>
      <c r="N136" s="4">
        <v>0.171490325995757</v>
      </c>
      <c r="O136" s="4">
        <v>0.234101821268356</v>
      </c>
      <c r="P136" s="4">
        <v>0.007678278</v>
      </c>
      <c r="Q136" t="s">
        <v>115</v>
      </c>
      <c r="R136" s="3">
        <v>34536.2460570374</v>
      </c>
      <c r="S136" s="4">
        <v>0.0715054396601785</v>
      </c>
      <c r="T136" s="4">
        <v>0.405592147264113</v>
      </c>
      <c r="U136" s="4">
        <v>0.171490325995757</v>
      </c>
      <c r="V136" s="4">
        <v>0.234101821268356</v>
      </c>
      <c r="W136" s="4">
        <v>0.007678278</v>
      </c>
    </row>
    <row r="137" spans="1:23" x14ac:dyDescent="0.25">
      <c r="A137">
        <v>10395</v>
      </c>
      <c r="B137" t="s">
        <v>120</v>
      </c>
      <c r="C137" t="s">
        <v>121</v>
      </c>
      <c r="D137">
        <v>4</v>
      </c>
      <c r="E137" s="1">
        <v>0.0656253642615689</v>
      </c>
      <c r="F137" s="1">
        <v>0.0839933123694589</v>
      </c>
      <c r="G137" s="1">
        <v>0.6</v>
      </c>
      <c r="H137" s="1">
        <v>0.8</v>
      </c>
      <c r="I137" s="1">
        <v>0.7</v>
      </c>
      <c r="J137" t="s">
        <v>115</v>
      </c>
      <c r="K137" s="3">
        <v>1337.61169775391</v>
      </c>
      <c r="L137" s="4">
        <v>0.0454431092882211</v>
      </c>
      <c r="M137" s="4">
        <v>0.168029619218071</v>
      </c>
      <c r="N137" s="4">
        <v>0.171490325995757</v>
      </c>
      <c r="O137" s="4">
        <v>-0.00346070677768617</v>
      </c>
      <c r="P137" s="4">
        <v>0.007678278</v>
      </c>
      <c r="Q137" t="s">
        <v>115</v>
      </c>
      <c r="R137" s="3">
        <v>1337.61169775391</v>
      </c>
      <c r="S137" s="4">
        <v>0.0454431092882211</v>
      </c>
      <c r="T137" s="4">
        <v>0.168029619218071</v>
      </c>
      <c r="U137" s="4">
        <v>0.171490325995757</v>
      </c>
      <c r="V137" s="4">
        <v>-0.00346070677768617</v>
      </c>
      <c r="W137" s="4">
        <v>0.007678278</v>
      </c>
    </row>
    <row r="138" spans="1:23" x14ac:dyDescent="0.25">
      <c r="A138">
        <v>13400</v>
      </c>
      <c r="B138" t="s">
        <v>122</v>
      </c>
      <c r="C138" t="s">
        <v>123</v>
      </c>
      <c r="D138">
        <v>4</v>
      </c>
      <c r="E138" s="1">
        <v>0.0141062376019396</v>
      </c>
      <c r="F138" s="1">
        <v>-0.0979262025612105</v>
      </c>
      <c r="G138" s="1">
        <v>1</v>
      </c>
      <c r="H138" s="1">
        <v>0.4</v>
      </c>
      <c r="I138" s="1">
        <v>0.7</v>
      </c>
      <c r="J138" t="s">
        <v>115</v>
      </c>
      <c r="K138" s="3">
        <v>2167.03596975708</v>
      </c>
      <c r="L138" s="4">
        <v>0.248230233877953</v>
      </c>
      <c r="M138" s="4">
        <v>0.262265853816089</v>
      </c>
      <c r="N138" s="4">
        <v>0.171490325995757</v>
      </c>
      <c r="O138" s="4">
        <v>0.0907755278203317</v>
      </c>
      <c r="P138" s="4">
        <v>0.007678278</v>
      </c>
      <c r="Q138" t="s">
        <v>115</v>
      </c>
      <c r="R138" s="3">
        <v>2167.03596975708</v>
      </c>
      <c r="S138" s="4">
        <v>0.248230233877953</v>
      </c>
      <c r="T138" s="4">
        <v>0.262265853816089</v>
      </c>
      <c r="U138" s="4">
        <v>0.171490325995757</v>
      </c>
      <c r="V138" s="4">
        <v>0.0907755278203317</v>
      </c>
      <c r="W138" s="4">
        <v>0.007678278</v>
      </c>
    </row>
    <row r="139" spans="1:23" x14ac:dyDescent="0.25">
      <c r="A139">
        <v>38093</v>
      </c>
      <c r="B139" t="s">
        <v>25</v>
      </c>
      <c r="C139" t="s">
        <v>26</v>
      </c>
      <c r="D139">
        <v>4</v>
      </c>
      <c r="E139" s="1">
        <v>0.050561797752809</v>
      </c>
      <c r="F139" s="1">
        <v>0.0251828306080533</v>
      </c>
      <c r="G139" s="1">
        <v>0.8</v>
      </c>
      <c r="H139" s="1">
        <v>0.6</v>
      </c>
      <c r="I139" s="1">
        <v>0.7</v>
      </c>
      <c r="J139" t="s">
        <v>115</v>
      </c>
      <c r="K139" s="3">
        <v>8420.43973007202</v>
      </c>
      <c r="L139" s="4">
        <v>0.162806745158925</v>
      </c>
      <c r="M139" s="4">
        <v>0.217874996246209</v>
      </c>
      <c r="N139" s="4">
        <v>0.171490325995757</v>
      </c>
      <c r="O139" s="4">
        <v>0.046384670250452</v>
      </c>
      <c r="P139" s="4">
        <v>0.007678278</v>
      </c>
      <c r="Q139" t="s">
        <v>115</v>
      </c>
      <c r="R139" s="3">
        <v>8420.43973007202</v>
      </c>
      <c r="S139" s="4">
        <v>0.162806745158925</v>
      </c>
      <c r="T139" s="4">
        <v>0.217874996246209</v>
      </c>
      <c r="U139" s="4">
        <v>0.171490325995757</v>
      </c>
      <c r="V139" s="4">
        <v>0.046384670250452</v>
      </c>
      <c r="W139" s="4">
        <v>0.007678278</v>
      </c>
    </row>
    <row r="140" spans="1:23" x14ac:dyDescent="0.25">
      <c r="A140">
        <v>45751</v>
      </c>
      <c r="B140" t="s">
        <v>27</v>
      </c>
      <c r="C140" t="s">
        <v>28</v>
      </c>
      <c r="D140">
        <v>4</v>
      </c>
      <c r="E140" s="1">
        <v>0.054283137962128</v>
      </c>
      <c r="F140" s="1">
        <v>-0.0122757203559222</v>
      </c>
      <c r="G140" s="1">
        <v>0.8</v>
      </c>
      <c r="H140" s="1">
        <v>0.6</v>
      </c>
      <c r="I140" s="1">
        <v>0.7</v>
      </c>
      <c r="J140" t="s">
        <v>115</v>
      </c>
      <c r="K140" s="3">
        <v>35683.6107027969</v>
      </c>
      <c r="L140" s="4">
        <v>-0.00733534090031658</v>
      </c>
      <c r="M140" s="4">
        <v>0.197703792675798</v>
      </c>
      <c r="N140" s="4">
        <v>0.171490325995757</v>
      </c>
      <c r="O140" s="4">
        <v>0.0262134666800411</v>
      </c>
      <c r="P140" s="4">
        <v>0.007678278</v>
      </c>
      <c r="Q140" t="s">
        <v>115</v>
      </c>
      <c r="R140" s="3">
        <v>35683.6107027969</v>
      </c>
      <c r="S140" s="4">
        <v>-0.00733534090031658</v>
      </c>
      <c r="T140" s="4">
        <v>0.197703792675798</v>
      </c>
      <c r="U140" s="4">
        <v>0.171490325995757</v>
      </c>
      <c r="V140" s="4">
        <v>0.0262134666800411</v>
      </c>
      <c r="W140" s="4">
        <v>0.007678278</v>
      </c>
    </row>
    <row r="141" spans="1:23" x14ac:dyDescent="0.25">
      <c r="A141">
        <v>77120</v>
      </c>
      <c r="B141" t="s">
        <v>124</v>
      </c>
      <c r="C141" t="s">
        <v>125</v>
      </c>
      <c r="D141">
        <v>4</v>
      </c>
      <c r="E141" s="1">
        <v>0.067209162145871</v>
      </c>
      <c r="F141" s="1">
        <v>0.040981318034597</v>
      </c>
      <c r="G141" s="1">
        <v>0.6</v>
      </c>
      <c r="H141" s="1">
        <v>0.8</v>
      </c>
      <c r="I141" s="1">
        <v>0.7</v>
      </c>
      <c r="J141" t="s">
        <v>115</v>
      </c>
      <c r="K141" s="3">
        <v>1355.78999673462</v>
      </c>
      <c r="L141" s="4">
        <v>0.0237390076092405</v>
      </c>
      <c r="M141" s="4">
        <v>0.154752068959021</v>
      </c>
      <c r="N141" s="4">
        <v>0.171490325995757</v>
      </c>
      <c r="O141" s="4">
        <v>-0.016738257036736</v>
      </c>
      <c r="P141" s="4">
        <v>0.007678278</v>
      </c>
      <c r="Q141" t="s">
        <v>115</v>
      </c>
      <c r="R141" s="3">
        <v>1355.78999673462</v>
      </c>
      <c r="S141" s="4">
        <v>0.0237390076092405</v>
      </c>
      <c r="T141" s="4">
        <v>0.154752068959021</v>
      </c>
      <c r="U141" s="4">
        <v>0.171490325995757</v>
      </c>
      <c r="V141" s="4">
        <v>-0.016738257036736</v>
      </c>
      <c r="W141" s="4">
        <v>0.007678278</v>
      </c>
    </row>
    <row r="142" spans="1:23" x14ac:dyDescent="0.25">
      <c r="A142">
        <v>79323</v>
      </c>
      <c r="B142" t="s">
        <v>45</v>
      </c>
      <c r="C142" t="s">
        <v>46</v>
      </c>
      <c r="D142">
        <v>4</v>
      </c>
      <c r="E142" s="1">
        <v>0.0824609437912707</v>
      </c>
      <c r="F142" s="1">
        <v>0.278586637486508</v>
      </c>
      <c r="G142" s="1">
        <v>0.4</v>
      </c>
      <c r="H142" s="1">
        <v>1</v>
      </c>
      <c r="I142" s="1">
        <v>0.7</v>
      </c>
      <c r="J142" t="s">
        <v>115</v>
      </c>
      <c r="K142" s="3">
        <v>26186.9705075226</v>
      </c>
      <c r="L142" s="4">
        <v>0.0143570895308103</v>
      </c>
      <c r="M142" s="4">
        <v>0.303039466929318</v>
      </c>
      <c r="N142" s="4">
        <v>0.171490325995757</v>
      </c>
      <c r="O142" s="4">
        <v>0.131549140933561</v>
      </c>
      <c r="P142" s="4">
        <v>0.007678278</v>
      </c>
      <c r="Q142" t="s">
        <v>115</v>
      </c>
      <c r="R142" s="3">
        <v>26186.9705075226</v>
      </c>
      <c r="S142" s="4">
        <v>0.0143570895308103</v>
      </c>
      <c r="T142" s="4">
        <v>0.303039466929318</v>
      </c>
      <c r="U142" s="4">
        <v>0.171490325995757</v>
      </c>
      <c r="V142" s="4">
        <v>0.131549140933561</v>
      </c>
      <c r="W142" s="4">
        <v>0.007678278</v>
      </c>
    </row>
    <row r="143" spans="1:23" x14ac:dyDescent="0.25">
      <c r="A143">
        <v>87212</v>
      </c>
      <c r="B143" t="s">
        <v>49</v>
      </c>
      <c r="C143" t="s">
        <v>50</v>
      </c>
      <c r="D143">
        <v>4</v>
      </c>
      <c r="E143" s="1">
        <v>0.0511089681774349</v>
      </c>
      <c r="F143" s="1">
        <v>-0.0144848668252066</v>
      </c>
      <c r="G143" s="1">
        <v>0.8</v>
      </c>
      <c r="H143" s="1">
        <v>0.6</v>
      </c>
      <c r="I143" s="1">
        <v>0.7</v>
      </c>
      <c r="J143" t="s">
        <v>115</v>
      </c>
      <c r="K143" s="3">
        <v>26961.8606104774</v>
      </c>
      <c r="L143" s="4">
        <v>-0.383211473037235</v>
      </c>
      <c r="M143" s="4">
        <v>0.200661577149825</v>
      </c>
      <c r="N143" s="4">
        <v>0.171490325995757</v>
      </c>
      <c r="O143" s="4">
        <v>0.0291712511540678</v>
      </c>
      <c r="P143" s="4">
        <v>0.007678278</v>
      </c>
      <c r="Q143" t="s">
        <v>115</v>
      </c>
      <c r="R143" s="3">
        <v>26961.8606104774</v>
      </c>
      <c r="S143" s="4">
        <v>-0.383211473037235</v>
      </c>
      <c r="T143" s="4">
        <v>0.200661577149825</v>
      </c>
      <c r="U143" s="4">
        <v>0.171490325995757</v>
      </c>
      <c r="V143" s="4">
        <v>0.0291712511540678</v>
      </c>
      <c r="W143" s="4">
        <v>0.007678278</v>
      </c>
    </row>
    <row r="144" spans="1:23" x14ac:dyDescent="0.25">
      <c r="A144">
        <v>89269</v>
      </c>
      <c r="B144" t="s">
        <v>103</v>
      </c>
      <c r="C144" t="s">
        <v>104</v>
      </c>
      <c r="D144">
        <v>4</v>
      </c>
      <c r="E144" s="1">
        <v>0.0454338246467102</v>
      </c>
      <c r="F144" s="1">
        <v>0.00200192331258953</v>
      </c>
      <c r="G144" s="1">
        <v>0.8</v>
      </c>
      <c r="H144" s="1">
        <v>0.6</v>
      </c>
      <c r="I144" s="1">
        <v>0.7</v>
      </c>
      <c r="J144" t="s">
        <v>115</v>
      </c>
      <c r="K144" s="3">
        <v>12166.6584782181</v>
      </c>
      <c r="L144" s="4">
        <v>0.3743961352657</v>
      </c>
      <c r="M144" s="4">
        <v>0.164875684071565</v>
      </c>
      <c r="N144" s="4">
        <v>0.171490325995757</v>
      </c>
      <c r="O144" s="4">
        <v>-0.0066146419241917</v>
      </c>
      <c r="P144" s="4">
        <v>0.007678278</v>
      </c>
      <c r="Q144" t="s">
        <v>115</v>
      </c>
      <c r="R144" s="3">
        <v>12166.6584782181</v>
      </c>
      <c r="S144" s="4">
        <v>0.3743961352657</v>
      </c>
      <c r="T144" s="4">
        <v>0.164875684071565</v>
      </c>
      <c r="U144" s="4">
        <v>0.171490325995757</v>
      </c>
      <c r="V144" s="4">
        <v>-0.0066146419241917</v>
      </c>
      <c r="W144" s="4">
        <v>0.007678278</v>
      </c>
    </row>
    <row r="145" spans="1:23" x14ac:dyDescent="0.25">
      <c r="A145">
        <v>89841</v>
      </c>
      <c r="B145" t="s">
        <v>126</v>
      </c>
      <c r="C145" t="s">
        <v>127</v>
      </c>
      <c r="D145">
        <v>4</v>
      </c>
      <c r="E145" s="1">
        <v>0.073336825563122</v>
      </c>
      <c r="F145" s="1">
        <v>0.0786106148834393</v>
      </c>
      <c r="G145" s="1">
        <v>0.6</v>
      </c>
      <c r="H145" s="1">
        <v>0.8</v>
      </c>
      <c r="I145" s="1">
        <v>0.7</v>
      </c>
      <c r="J145" t="s">
        <v>115</v>
      </c>
      <c r="K145" s="3">
        <v>3127.05091603088</v>
      </c>
      <c r="L145" s="4">
        <v>-0.0802953169107534</v>
      </c>
      <c r="M145" s="4">
        <v>0.028055561601307</v>
      </c>
      <c r="N145" s="4">
        <v>0.171490325995757</v>
      </c>
      <c r="O145" s="4">
        <v>-0.14343476439445</v>
      </c>
      <c r="P145" s="4">
        <v>0.007678278</v>
      </c>
      <c r="Q145" t="s">
        <v>115</v>
      </c>
      <c r="R145" s="3">
        <v>3127.05091603088</v>
      </c>
      <c r="S145" s="4">
        <v>-0.0802953169107534</v>
      </c>
      <c r="T145" s="4">
        <v>0.028055561601307</v>
      </c>
      <c r="U145" s="4">
        <v>0.171490325995757</v>
      </c>
      <c r="V145" s="4">
        <v>-0.14343476439445</v>
      </c>
      <c r="W145" s="4">
        <v>0.007678278</v>
      </c>
    </row>
    <row r="146" spans="1:23" x14ac:dyDescent="0.25">
      <c r="A146">
        <v>10933</v>
      </c>
      <c r="B146" t="s">
        <v>57</v>
      </c>
      <c r="C146" t="s">
        <v>58</v>
      </c>
      <c r="D146">
        <v>4</v>
      </c>
      <c r="E146" s="1">
        <v>0.0475349521707138</v>
      </c>
      <c r="F146" s="1">
        <v>-0.0378717972455031</v>
      </c>
      <c r="G146" s="1">
        <v>0.8</v>
      </c>
      <c r="H146" s="1">
        <v>0.4</v>
      </c>
      <c r="I146" s="1">
        <v>0.6</v>
      </c>
      <c r="J146" t="s">
        <v>115</v>
      </c>
      <c r="K146" s="3">
        <v>13309.384229248</v>
      </c>
      <c r="L146" s="4">
        <v>0.0470556947774972</v>
      </c>
      <c r="M146" s="4">
        <v>0.0254459597436296</v>
      </c>
      <c r="N146" s="4">
        <v>0.171490325995757</v>
      </c>
      <c r="O146" s="4">
        <v>-0.146044366252127</v>
      </c>
      <c r="P146" s="4">
        <v>0.007678278</v>
      </c>
      <c r="Q146" t="s">
        <v>115</v>
      </c>
      <c r="R146" s="3">
        <v>13309.384229248</v>
      </c>
      <c r="S146" s="4">
        <v>0.0470556947774972</v>
      </c>
      <c r="T146" s="4">
        <v>0.0254459597436296</v>
      </c>
      <c r="U146" s="4">
        <v>0.171490325995757</v>
      </c>
      <c r="V146" s="4">
        <v>-0.146044366252127</v>
      </c>
      <c r="W146" s="4">
        <v>0.007678278</v>
      </c>
    </row>
    <row r="147" spans="1:23" x14ac:dyDescent="0.25">
      <c r="A147">
        <v>71271</v>
      </c>
      <c r="B147" t="s">
        <v>93</v>
      </c>
      <c r="C147" t="s">
        <v>94</v>
      </c>
      <c r="D147">
        <v>4</v>
      </c>
      <c r="E147" s="1">
        <v>0.0735254116711652</v>
      </c>
      <c r="F147" s="1">
        <v>0.0393834681353076</v>
      </c>
      <c r="G147" s="1">
        <v>0.4</v>
      </c>
      <c r="H147" s="1">
        <v>0.8</v>
      </c>
      <c r="I147" s="1">
        <v>0.6</v>
      </c>
      <c r="J147" t="s">
        <v>115</v>
      </c>
      <c r="K147" s="3">
        <v>8484.9658838501</v>
      </c>
      <c r="L147" s="4">
        <v>-0.0406863772723551</v>
      </c>
      <c r="M147" s="4">
        <v>0.0780243530698108</v>
      </c>
      <c r="N147" s="4">
        <v>0.171490325995757</v>
      </c>
      <c r="O147" s="4">
        <v>-0.0934659729259459</v>
      </c>
      <c r="P147" s="4">
        <v>0.007678278</v>
      </c>
      <c r="Q147" t="s">
        <v>115</v>
      </c>
      <c r="R147" s="3">
        <v>8484.9658838501</v>
      </c>
      <c r="S147" s="4">
        <v>-0.0406863772723551</v>
      </c>
      <c r="T147" s="4">
        <v>0.0780243530698108</v>
      </c>
      <c r="U147" s="4">
        <v>0.171490325995757</v>
      </c>
      <c r="V147" s="4">
        <v>-0.0934659729259459</v>
      </c>
      <c r="W147" s="4">
        <v>0.007678278</v>
      </c>
    </row>
    <row r="148" spans="1:23" x14ac:dyDescent="0.25">
      <c r="A148">
        <v>82292</v>
      </c>
      <c r="B148" t="s">
        <v>19</v>
      </c>
      <c r="C148" t="s">
        <v>20</v>
      </c>
      <c r="D148">
        <v>4</v>
      </c>
      <c r="E148" s="1">
        <v>0.0925743791492501</v>
      </c>
      <c r="F148" s="1">
        <v>0.0493966529222919</v>
      </c>
      <c r="G148" s="1">
        <v>0.4</v>
      </c>
      <c r="H148" s="1">
        <v>0.8</v>
      </c>
      <c r="I148" s="1">
        <v>0.6</v>
      </c>
      <c r="J148" t="s">
        <v>115</v>
      </c>
      <c r="K148" s="3">
        <v>3634.68297797394</v>
      </c>
      <c r="L148" s="4">
        <v>-0.00663035756571165</v>
      </c>
      <c r="M148" s="4">
        <v>-0.0160472670033259</v>
      </c>
      <c r="N148" s="4">
        <v>0.171490325995757</v>
      </c>
      <c r="O148" s="4">
        <v>-0.187537592999083</v>
      </c>
      <c r="P148" s="4">
        <v>0.007678278</v>
      </c>
      <c r="Q148" t="s">
        <v>115</v>
      </c>
      <c r="R148" s="3">
        <v>3634.68297797394</v>
      </c>
      <c r="S148" s="4">
        <v>-0.00663035756571165</v>
      </c>
      <c r="T148" s="4">
        <v>-0.0160472670033259</v>
      </c>
      <c r="U148" s="4">
        <v>0.171490325995757</v>
      </c>
      <c r="V148" s="4">
        <v>-0.187537592999083</v>
      </c>
      <c r="W148" s="4">
        <v>0.007678278</v>
      </c>
    </row>
    <row r="149" spans="1:23" x14ac:dyDescent="0.25">
      <c r="A149">
        <v>87666</v>
      </c>
      <c r="B149" t="s">
        <v>35</v>
      </c>
      <c r="C149" t="s">
        <v>36</v>
      </c>
      <c r="D149">
        <v>4</v>
      </c>
      <c r="E149" s="1">
        <v>0.0827346465816918</v>
      </c>
      <c r="F149" s="1">
        <v>0.0765342919775143</v>
      </c>
      <c r="G149" s="1">
        <v>0.4</v>
      </c>
      <c r="H149" s="1">
        <v>0.8</v>
      </c>
      <c r="I149" s="1">
        <v>0.6</v>
      </c>
      <c r="J149" t="s">
        <v>115</v>
      </c>
      <c r="K149" s="3">
        <v>20113.7274118195</v>
      </c>
      <c r="L149" s="4">
        <v>-0.286583910241108</v>
      </c>
      <c r="M149" s="4">
        <v>-0.0155611284414934</v>
      </c>
      <c r="N149" s="4">
        <v>0.171490325995757</v>
      </c>
      <c r="O149" s="4">
        <v>-0.18705145443725</v>
      </c>
      <c r="P149" s="4">
        <v>0.007678278</v>
      </c>
      <c r="Q149" t="s">
        <v>115</v>
      </c>
      <c r="R149" s="3">
        <v>20113.7274118195</v>
      </c>
      <c r="S149" s="4">
        <v>-0.286583910241108</v>
      </c>
      <c r="T149" s="4">
        <v>-0.0155611284414934</v>
      </c>
      <c r="U149" s="4">
        <v>0.171490325995757</v>
      </c>
      <c r="V149" s="4">
        <v>-0.18705145443725</v>
      </c>
      <c r="W149" s="4">
        <v>0.007678278</v>
      </c>
    </row>
    <row r="150" spans="1:23" x14ac:dyDescent="0.25">
      <c r="A150">
        <v>89781</v>
      </c>
      <c r="B150" t="s">
        <v>128</v>
      </c>
      <c r="C150" t="s">
        <v>129</v>
      </c>
      <c r="D150">
        <v>4</v>
      </c>
      <c r="E150" s="1">
        <v>0.0457342424746383</v>
      </c>
      <c r="F150" s="1">
        <v>-0.0718208393200543</v>
      </c>
      <c r="G150" s="1">
        <v>0.8</v>
      </c>
      <c r="H150" s="1">
        <v>0.4</v>
      </c>
      <c r="I150" s="1">
        <v>0.6</v>
      </c>
      <c r="J150" t="s">
        <v>115</v>
      </c>
      <c r="K150" s="3">
        <v>2823.54168634033</v>
      </c>
      <c r="L150" s="4">
        <v>0.46669961861465</v>
      </c>
      <c r="M150" s="4">
        <v>0.333264486539898</v>
      </c>
      <c r="N150" s="4">
        <v>0.171490325995757</v>
      </c>
      <c r="O150" s="4">
        <v>0.161774160544141</v>
      </c>
      <c r="P150" s="4">
        <v>0.007678278</v>
      </c>
      <c r="Q150" t="s">
        <v>115</v>
      </c>
      <c r="R150" s="3">
        <v>2823.54168634033</v>
      </c>
      <c r="S150" s="4">
        <v>0.46669961861465</v>
      </c>
      <c r="T150" s="4">
        <v>0.333264486539898</v>
      </c>
      <c r="U150" s="4">
        <v>0.171490325995757</v>
      </c>
      <c r="V150" s="4">
        <v>0.161774160544141</v>
      </c>
      <c r="W150" s="4">
        <v>0.007678278</v>
      </c>
    </row>
    <row r="151" spans="1:23" x14ac:dyDescent="0.25">
      <c r="A151">
        <v>26710</v>
      </c>
      <c r="B151" t="s">
        <v>61</v>
      </c>
      <c r="C151" t="s">
        <v>62</v>
      </c>
      <c r="D151">
        <v>4</v>
      </c>
      <c r="E151" s="1">
        <v>0.01875</v>
      </c>
      <c r="F151" s="1">
        <v>-0.165280131454155</v>
      </c>
      <c r="G151" s="1">
        <v>1</v>
      </c>
      <c r="H151" s="1">
        <v>0.2</v>
      </c>
      <c r="I151" s="1">
        <v>0.6</v>
      </c>
      <c r="J151" t="s">
        <v>115</v>
      </c>
      <c r="K151" s="3">
        <v>13930.1674917297</v>
      </c>
      <c r="L151" s="4">
        <v>-0.0635253054101222</v>
      </c>
      <c r="M151" s="4">
        <v>0.171497313224331</v>
      </c>
      <c r="N151" s="4">
        <v>0.171490325995757</v>
      </c>
      <c r="O151" s="4">
        <v>0.00000698722857439549</v>
      </c>
      <c r="P151" s="4">
        <v>0.007678278</v>
      </c>
      <c r="Q151" t="s">
        <v>115</v>
      </c>
      <c r="R151" s="3">
        <v>13930.1674917297</v>
      </c>
      <c r="S151" s="4">
        <v>-0.0635253054101222</v>
      </c>
      <c r="T151" s="4">
        <v>0.171497313224331</v>
      </c>
      <c r="U151" s="4">
        <v>0.171490325995757</v>
      </c>
      <c r="V151" s="4">
        <v>0.00000698722857439549</v>
      </c>
      <c r="W151" s="4">
        <v>0.007678278</v>
      </c>
    </row>
    <row r="152" spans="1:23" x14ac:dyDescent="0.25">
      <c r="A152">
        <v>76838</v>
      </c>
      <c r="B152" t="s">
        <v>130</v>
      </c>
      <c r="C152" t="s">
        <v>131</v>
      </c>
      <c r="D152">
        <v>4</v>
      </c>
      <c r="E152" s="1">
        <v>0.0436843189779518</v>
      </c>
      <c r="F152" s="1">
        <v>-0.118455941153187</v>
      </c>
      <c r="G152" s="1">
        <v>1</v>
      </c>
      <c r="H152" s="1">
        <v>0.2</v>
      </c>
      <c r="I152" s="1">
        <v>0.6</v>
      </c>
      <c r="J152" t="s">
        <v>115</v>
      </c>
      <c r="K152" s="3">
        <v>2848.59220941544</v>
      </c>
      <c r="L152" s="4">
        <v>-0.0942346229106254</v>
      </c>
      <c r="M152" s="4">
        <v>0.256359148255124</v>
      </c>
      <c r="N152" s="4">
        <v>0.171490325995757</v>
      </c>
      <c r="O152" s="4">
        <v>0.084868822259367</v>
      </c>
      <c r="P152" s="4">
        <v>0.007678278</v>
      </c>
      <c r="Q152" t="s">
        <v>115</v>
      </c>
      <c r="R152" s="3">
        <v>2848.59220941544</v>
      </c>
      <c r="S152" s="4">
        <v>-0.0942346229106254</v>
      </c>
      <c r="T152" s="4">
        <v>0.256359148255124</v>
      </c>
      <c r="U152" s="4">
        <v>0.171490325995757</v>
      </c>
      <c r="V152" s="4">
        <v>0.084868822259367</v>
      </c>
      <c r="W152" s="4">
        <v>0.007678278</v>
      </c>
    </row>
    <row r="153" spans="1:23" x14ac:dyDescent="0.25">
      <c r="A153">
        <v>78038</v>
      </c>
      <c r="B153" t="s">
        <v>109</v>
      </c>
      <c r="C153" t="s">
        <v>110</v>
      </c>
      <c r="D153">
        <v>4</v>
      </c>
      <c r="E153" s="1">
        <v>0.105302464525765</v>
      </c>
      <c r="F153" s="1">
        <v>0.0904205266730233</v>
      </c>
      <c r="G153" s="1">
        <v>0.2</v>
      </c>
      <c r="H153" s="1">
        <v>1</v>
      </c>
      <c r="I153" s="1">
        <v>0.6</v>
      </c>
      <c r="J153" t="s">
        <v>115</v>
      </c>
      <c r="K153" s="3">
        <v>2232.70383634758</v>
      </c>
      <c r="L153" s="4">
        <v>0.112398327561213</v>
      </c>
      <c r="M153" s="4">
        <v>0.294951299747966</v>
      </c>
      <c r="N153" s="4">
        <v>0.171490325995757</v>
      </c>
      <c r="O153" s="4">
        <v>0.12346097375221</v>
      </c>
      <c r="P153" s="4">
        <v>0.007678278</v>
      </c>
      <c r="Q153" t="s">
        <v>115</v>
      </c>
      <c r="R153" s="3">
        <v>2232.70383634758</v>
      </c>
      <c r="S153" s="4">
        <v>0.112398327561213</v>
      </c>
      <c r="T153" s="4">
        <v>0.294951299747966</v>
      </c>
      <c r="U153" s="4">
        <v>0.171490325995757</v>
      </c>
      <c r="V153" s="4">
        <v>0.12346097375221</v>
      </c>
      <c r="W153" s="4">
        <v>0.007678278</v>
      </c>
    </row>
    <row r="154" spans="1:23" x14ac:dyDescent="0.25">
      <c r="A154">
        <v>17743</v>
      </c>
      <c r="B154" t="s">
        <v>75</v>
      </c>
      <c r="C154" t="s">
        <v>76</v>
      </c>
      <c r="D154">
        <v>4</v>
      </c>
      <c r="E154" s="1">
        <v>0.0741552511415525</v>
      </c>
      <c r="F154" s="1">
        <v>0.0285500513586313</v>
      </c>
      <c r="G154" s="1">
        <v>0.4</v>
      </c>
      <c r="H154" s="1">
        <v>0.6</v>
      </c>
      <c r="I154" s="1">
        <v>0.5</v>
      </c>
      <c r="J154" t="s">
        <v>115</v>
      </c>
      <c r="K154" s="3">
        <v>7346.3715355072</v>
      </c>
      <c r="L154" s="4">
        <v>0.0210010205395554</v>
      </c>
      <c r="M154" s="4">
        <v>0.240336299018046</v>
      </c>
      <c r="N154" s="4">
        <v>0.171490325995757</v>
      </c>
      <c r="O154" s="4">
        <v>0.0688459730222895</v>
      </c>
      <c r="P154" s="4">
        <v>0.007678278</v>
      </c>
      <c r="Q154" t="s">
        <v>115</v>
      </c>
      <c r="R154" s="3">
        <v>7346.3715355072</v>
      </c>
      <c r="S154" s="4">
        <v>0.0210010205395554</v>
      </c>
      <c r="T154" s="4">
        <v>0.240336299018046</v>
      </c>
      <c r="U154" s="4">
        <v>0.171490325995757</v>
      </c>
      <c r="V154" s="4">
        <v>0.0688459730222895</v>
      </c>
      <c r="W154" s="4">
        <v>0.007678278</v>
      </c>
    </row>
    <row r="155" spans="1:23" x14ac:dyDescent="0.25">
      <c r="A155">
        <v>47626</v>
      </c>
      <c r="B155" t="s">
        <v>77</v>
      </c>
      <c r="C155" t="s">
        <v>78</v>
      </c>
      <c r="D155">
        <v>4</v>
      </c>
      <c r="E155" s="1">
        <v>0.0503556187766714</v>
      </c>
      <c r="F155" s="1">
        <v>-0.205006811880965</v>
      </c>
      <c r="G155" s="1">
        <v>0.8</v>
      </c>
      <c r="H155" s="1">
        <v>0.2</v>
      </c>
      <c r="I155" s="1">
        <v>0.5</v>
      </c>
      <c r="J155" t="s">
        <v>115</v>
      </c>
      <c r="K155" s="3">
        <v>8498.48162063599</v>
      </c>
      <c r="L155" s="4">
        <v>-0.044543429844098</v>
      </c>
      <c r="M155" s="4">
        <v>0.489215161945472</v>
      </c>
      <c r="N155" s="4">
        <v>0.171490325995757</v>
      </c>
      <c r="O155" s="4">
        <v>0.317724835949715</v>
      </c>
      <c r="P155" s="4">
        <v>0.007678278</v>
      </c>
      <c r="Q155" t="s">
        <v>115</v>
      </c>
      <c r="R155" s="3">
        <v>8498.48162063599</v>
      </c>
      <c r="S155" s="4">
        <v>-0.044543429844098</v>
      </c>
      <c r="T155" s="4">
        <v>0.489215161945472</v>
      </c>
      <c r="U155" s="4">
        <v>0.171490325995757</v>
      </c>
      <c r="V155" s="4">
        <v>0.317724835949715</v>
      </c>
      <c r="W155" s="4">
        <v>0.007678278</v>
      </c>
    </row>
    <row r="156" spans="1:23" x14ac:dyDescent="0.25">
      <c r="A156">
        <v>63467</v>
      </c>
      <c r="B156" t="s">
        <v>43</v>
      </c>
      <c r="C156" t="s">
        <v>44</v>
      </c>
      <c r="D156">
        <v>4</v>
      </c>
      <c r="E156" s="1">
        <v>0.053582554517134</v>
      </c>
      <c r="F156" s="1">
        <v>-0.142675084459568</v>
      </c>
      <c r="G156" s="1">
        <v>0.8</v>
      </c>
      <c r="H156" s="1">
        <v>0.2</v>
      </c>
      <c r="I156" s="1">
        <v>0.5</v>
      </c>
      <c r="J156" t="s">
        <v>115</v>
      </c>
      <c r="K156" s="3">
        <v>5246.62451092529</v>
      </c>
      <c r="L156" s="4">
        <v>0.0537588621877451</v>
      </c>
      <c r="M156" s="4">
        <v>0.220324666065764</v>
      </c>
      <c r="N156" s="4">
        <v>0.171490325995757</v>
      </c>
      <c r="O156" s="4">
        <v>0.0488343400700075</v>
      </c>
      <c r="P156" s="4">
        <v>0.007678278</v>
      </c>
      <c r="Q156" t="s">
        <v>115</v>
      </c>
      <c r="R156" s="3">
        <v>5246.62451092529</v>
      </c>
      <c r="S156" s="4">
        <v>0.0537588621877451</v>
      </c>
      <c r="T156" s="4">
        <v>0.220324666065764</v>
      </c>
      <c r="U156" s="4">
        <v>0.171490325995757</v>
      </c>
      <c r="V156" s="4">
        <v>0.0488343400700075</v>
      </c>
      <c r="W156" s="4">
        <v>0.007678278</v>
      </c>
    </row>
    <row r="157" spans="1:23" x14ac:dyDescent="0.25">
      <c r="A157">
        <v>68292</v>
      </c>
      <c r="B157" t="s">
        <v>132</v>
      </c>
      <c r="C157" t="s">
        <v>133</v>
      </c>
      <c r="D157">
        <v>4</v>
      </c>
      <c r="E157" s="1">
        <v>0.0863609291244789</v>
      </c>
      <c r="F157" s="1">
        <v>0.0358754511770247</v>
      </c>
      <c r="G157" s="1">
        <v>0.4</v>
      </c>
      <c r="H157" s="1">
        <v>0.6</v>
      </c>
      <c r="I157" s="1">
        <v>0.5</v>
      </c>
      <c r="J157" t="s">
        <v>115</v>
      </c>
      <c r="K157" s="3">
        <v>2209.03467707062</v>
      </c>
      <c r="L157" s="4">
        <v>0.0598331777829326</v>
      </c>
      <c r="M157" s="4">
        <v>0.39541218151014</v>
      </c>
      <c r="N157" s="4">
        <v>0.171490325995757</v>
      </c>
      <c r="O157" s="4">
        <v>0.223921855514383</v>
      </c>
      <c r="P157" s="4">
        <v>0.007678278</v>
      </c>
      <c r="Q157" t="s">
        <v>115</v>
      </c>
      <c r="R157" s="3">
        <v>2209.03467707062</v>
      </c>
      <c r="S157" s="4">
        <v>0.0598331777829326</v>
      </c>
      <c r="T157" s="4">
        <v>0.39541218151014</v>
      </c>
      <c r="U157" s="4">
        <v>0.171490325995757</v>
      </c>
      <c r="V157" s="4">
        <v>0.223921855514383</v>
      </c>
      <c r="W157" s="4">
        <v>0.007678278</v>
      </c>
    </row>
    <row r="158" spans="1:23" x14ac:dyDescent="0.25">
      <c r="A158">
        <v>82775</v>
      </c>
      <c r="B158" t="s">
        <v>97</v>
      </c>
      <c r="C158" t="s">
        <v>98</v>
      </c>
      <c r="D158">
        <v>4</v>
      </c>
      <c r="E158" s="1">
        <v>0.0927289461573861</v>
      </c>
      <c r="F158" s="1">
        <v>0.0642189159173372</v>
      </c>
      <c r="G158" s="1">
        <v>0.2</v>
      </c>
      <c r="H158" s="1">
        <v>0.8</v>
      </c>
      <c r="I158" s="1">
        <v>0.5</v>
      </c>
      <c r="J158" t="s">
        <v>115</v>
      </c>
      <c r="K158" s="3">
        <v>17458.4267201805</v>
      </c>
      <c r="L158" s="4">
        <v>-0.00927947598253275</v>
      </c>
      <c r="M158" s="4">
        <v>0.114831886842842</v>
      </c>
      <c r="N158" s="4">
        <v>0.171490325995757</v>
      </c>
      <c r="O158" s="4">
        <v>-0.056658439152915</v>
      </c>
      <c r="P158" s="4">
        <v>0.007678278</v>
      </c>
      <c r="Q158" t="s">
        <v>115</v>
      </c>
      <c r="R158" s="3">
        <v>17458.4267201805</v>
      </c>
      <c r="S158" s="4">
        <v>-0.00927947598253275</v>
      </c>
      <c r="T158" s="4">
        <v>0.114831886842842</v>
      </c>
      <c r="U158" s="4">
        <v>0.171490325995757</v>
      </c>
      <c r="V158" s="4">
        <v>-0.056658439152915</v>
      </c>
      <c r="W158" s="4">
        <v>0.007678278</v>
      </c>
    </row>
    <row r="159" spans="1:23" x14ac:dyDescent="0.25">
      <c r="A159">
        <v>92655</v>
      </c>
      <c r="B159" t="s">
        <v>91</v>
      </c>
      <c r="C159" t="s">
        <v>92</v>
      </c>
      <c r="D159">
        <v>4</v>
      </c>
      <c r="E159" s="1">
        <v>0.0518531111866712</v>
      </c>
      <c r="F159" s="1">
        <v>-0.24922912721901</v>
      </c>
      <c r="G159" s="1">
        <v>0.8</v>
      </c>
      <c r="H159" s="1">
        <v>0.2</v>
      </c>
      <c r="I159" s="1">
        <v>0.5</v>
      </c>
      <c r="J159" t="s">
        <v>115</v>
      </c>
      <c r="K159" s="3">
        <v>134253.521898376</v>
      </c>
      <c r="L159" s="4">
        <v>0.204124959762098</v>
      </c>
      <c r="M159" s="4">
        <v>0.332496530222613</v>
      </c>
      <c r="N159" s="4">
        <v>0.171490325995757</v>
      </c>
      <c r="O159" s="4">
        <v>0.161006204226856</v>
      </c>
      <c r="P159" s="4">
        <v>0.007678278</v>
      </c>
      <c r="Q159" t="s">
        <v>115</v>
      </c>
      <c r="R159" s="3">
        <v>134253.521898376</v>
      </c>
      <c r="S159" s="4">
        <v>0.204124959762098</v>
      </c>
      <c r="T159" s="4">
        <v>0.332496530222613</v>
      </c>
      <c r="U159" s="4">
        <v>0.171490325995757</v>
      </c>
      <c r="V159" s="4">
        <v>0.161006204226856</v>
      </c>
      <c r="W159" s="4">
        <v>0.007678278</v>
      </c>
    </row>
    <row r="160" spans="1:23" x14ac:dyDescent="0.25">
      <c r="A160">
        <v>93374</v>
      </c>
      <c r="B160" t="s">
        <v>134</v>
      </c>
      <c r="C160" t="s">
        <v>135</v>
      </c>
      <c r="D160">
        <v>4</v>
      </c>
      <c r="E160" s="1">
        <v>0.0738161559888579</v>
      </c>
      <c r="F160" s="1">
        <v>-0.00814080942708489</v>
      </c>
      <c r="G160" s="1">
        <v>0.4</v>
      </c>
      <c r="H160" s="1">
        <v>0.6</v>
      </c>
      <c r="I160" s="1">
        <v>0.5</v>
      </c>
      <c r="J160" t="s">
        <v>115</v>
      </c>
      <c r="K160" s="3">
        <v>4407.10663375855</v>
      </c>
      <c r="L160" s="4">
        <v>0.100790841355852</v>
      </c>
      <c r="M160" s="4">
        <v>0.176164163325886</v>
      </c>
      <c r="N160" s="4">
        <v>0.171490325995757</v>
      </c>
      <c r="O160" s="4">
        <v>0.00467383733012894</v>
      </c>
      <c r="P160" s="4">
        <v>0.007678278</v>
      </c>
      <c r="Q160" t="s">
        <v>115</v>
      </c>
      <c r="R160" s="3">
        <v>4407.10663375855</v>
      </c>
      <c r="S160" s="4">
        <v>0.100790841355852</v>
      </c>
      <c r="T160" s="4">
        <v>0.176164163325886</v>
      </c>
      <c r="U160" s="4">
        <v>0.171490325995757</v>
      </c>
      <c r="V160" s="4">
        <v>0.00467383733012894</v>
      </c>
      <c r="W160" s="4">
        <v>0.007678278</v>
      </c>
    </row>
    <row r="161" spans="1:23" x14ac:dyDescent="0.25">
      <c r="A161">
        <v>49015</v>
      </c>
      <c r="B161" t="s">
        <v>81</v>
      </c>
      <c r="C161" t="s">
        <v>82</v>
      </c>
      <c r="D161">
        <v>4</v>
      </c>
      <c r="E161" s="1">
        <v>0.0915240748109829</v>
      </c>
      <c r="F161" s="1">
        <v>-0.0598337779300486</v>
      </c>
      <c r="G161" s="1">
        <v>0.4</v>
      </c>
      <c r="H161" s="1">
        <v>0.4</v>
      </c>
      <c r="I161" s="1">
        <v>0.4</v>
      </c>
      <c r="J161" t="s">
        <v>115</v>
      </c>
      <c r="K161" s="3">
        <v>9266.30149940872</v>
      </c>
      <c r="L161" s="4">
        <v>0.00446960667461263</v>
      </c>
      <c r="M161" s="4">
        <v>0.445084827343304</v>
      </c>
      <c r="N161" s="4">
        <v>0.171490325995757</v>
      </c>
      <c r="O161" s="4">
        <v>0.273594501347548</v>
      </c>
      <c r="P161" s="4">
        <v>0.007678278</v>
      </c>
      <c r="Q161" t="s">
        <v>115</v>
      </c>
      <c r="R161" s="3">
        <v>9266.30149940872</v>
      </c>
      <c r="S161" s="4">
        <v>0.00446960667461263</v>
      </c>
      <c r="T161" s="4">
        <v>0.445084827343304</v>
      </c>
      <c r="U161" s="4">
        <v>0.171490325995757</v>
      </c>
      <c r="V161" s="4">
        <v>0.273594501347548</v>
      </c>
      <c r="W161" s="4">
        <v>0.007678278</v>
      </c>
    </row>
    <row r="162" spans="1:23" x14ac:dyDescent="0.25">
      <c r="A162">
        <v>57904</v>
      </c>
      <c r="B162" t="s">
        <v>41</v>
      </c>
      <c r="C162" t="s">
        <v>42</v>
      </c>
      <c r="D162">
        <v>4</v>
      </c>
      <c r="E162" s="1">
        <v>0.0981636060100167</v>
      </c>
      <c r="F162" s="1">
        <v>0.0304378148635737</v>
      </c>
      <c r="G162" s="1">
        <v>0.2</v>
      </c>
      <c r="H162" s="1">
        <v>0.6</v>
      </c>
      <c r="I162" s="1">
        <v>0.4</v>
      </c>
      <c r="J162" t="s">
        <v>115</v>
      </c>
      <c r="K162" s="3">
        <v>29873.3034360657</v>
      </c>
      <c r="L162" s="4">
        <v>-0.0802534318901795</v>
      </c>
      <c r="M162" s="4">
        <v>0.110624844680398</v>
      </c>
      <c r="N162" s="4">
        <v>0.171490325995757</v>
      </c>
      <c r="O162" s="4">
        <v>-0.0608654813153591</v>
      </c>
      <c r="P162" s="4">
        <v>0.007678278</v>
      </c>
      <c r="Q162" t="s">
        <v>115</v>
      </c>
      <c r="R162" s="3">
        <v>29873.3034360657</v>
      </c>
      <c r="S162" s="4">
        <v>-0.0802534318901795</v>
      </c>
      <c r="T162" s="4">
        <v>0.110624844680398</v>
      </c>
      <c r="U162" s="4">
        <v>0.171490325995757</v>
      </c>
      <c r="V162" s="4">
        <v>-0.0608654813153591</v>
      </c>
      <c r="W162" s="4">
        <v>0.007678278</v>
      </c>
    </row>
    <row r="163" spans="1:23" x14ac:dyDescent="0.25">
      <c r="A163">
        <v>60687</v>
      </c>
      <c r="B163" t="s">
        <v>83</v>
      </c>
      <c r="C163" t="s">
        <v>84</v>
      </c>
      <c r="D163">
        <v>4</v>
      </c>
      <c r="E163" s="1">
        <v>0.0557713651498335</v>
      </c>
      <c r="F163" s="1">
        <v>-0.107712713099123</v>
      </c>
      <c r="G163" s="1">
        <v>0.6</v>
      </c>
      <c r="H163" s="1">
        <v>0.2</v>
      </c>
      <c r="I163" s="1">
        <v>0.4</v>
      </c>
      <c r="J163" t="s">
        <v>115</v>
      </c>
      <c r="K163" s="3">
        <v>6410.24853646088</v>
      </c>
      <c r="L163" s="4">
        <v>0.0742756804214223</v>
      </c>
      <c r="M163" s="4">
        <v>0.420792706766938</v>
      </c>
      <c r="N163" s="4">
        <v>0.171490325995757</v>
      </c>
      <c r="O163" s="4">
        <v>0.249302380771182</v>
      </c>
      <c r="P163" s="4">
        <v>0.007678278</v>
      </c>
      <c r="Q163" t="s">
        <v>115</v>
      </c>
      <c r="R163" s="3">
        <v>6410.24853646088</v>
      </c>
      <c r="S163" s="4">
        <v>0.0742756804214223</v>
      </c>
      <c r="T163" s="4">
        <v>0.420792706766938</v>
      </c>
      <c r="U163" s="4">
        <v>0.171490325995757</v>
      </c>
      <c r="V163" s="4">
        <v>0.249302380771182</v>
      </c>
      <c r="W163" s="4">
        <v>0.007678278</v>
      </c>
    </row>
    <row r="164" spans="1:23" x14ac:dyDescent="0.25">
      <c r="A164">
        <v>79210</v>
      </c>
      <c r="B164" t="s">
        <v>95</v>
      </c>
      <c r="C164" t="s">
        <v>96</v>
      </c>
      <c r="D164">
        <v>4</v>
      </c>
      <c r="E164" s="1">
        <v>0.0882524839275278</v>
      </c>
      <c r="F164" s="1">
        <v>-0.0486348003661838</v>
      </c>
      <c r="G164" s="1">
        <v>0.4</v>
      </c>
      <c r="H164" s="1">
        <v>0.4</v>
      </c>
      <c r="I164" s="1">
        <v>0.4</v>
      </c>
      <c r="J164" t="s">
        <v>115</v>
      </c>
      <c r="K164" s="3">
        <v>6213.85819313812</v>
      </c>
      <c r="L164" s="4">
        <v>-0.0445714740585136</v>
      </c>
      <c r="M164" s="4">
        <v>0.273099801145128</v>
      </c>
      <c r="N164" s="4">
        <v>0.171490325995757</v>
      </c>
      <c r="O164" s="4">
        <v>0.101609475149372</v>
      </c>
      <c r="P164" s="4">
        <v>0.007678278</v>
      </c>
      <c r="Q164" t="s">
        <v>115</v>
      </c>
      <c r="R164" s="3">
        <v>6213.85819313812</v>
      </c>
      <c r="S164" s="4">
        <v>-0.0445714740585136</v>
      </c>
      <c r="T164" s="4">
        <v>0.273099801145128</v>
      </c>
      <c r="U164" s="4">
        <v>0.171490325995757</v>
      </c>
      <c r="V164" s="4">
        <v>0.101609475149372</v>
      </c>
      <c r="W164" s="4">
        <v>0.007678278</v>
      </c>
    </row>
    <row r="165" spans="1:23" x14ac:dyDescent="0.25">
      <c r="A165">
        <v>83720</v>
      </c>
      <c r="B165" t="s">
        <v>136</v>
      </c>
      <c r="C165" t="s">
        <v>137</v>
      </c>
      <c r="D165">
        <v>4</v>
      </c>
      <c r="E165" s="1">
        <v>0.0714959145191703</v>
      </c>
      <c r="F165" s="1">
        <v>-0.126295113409608</v>
      </c>
      <c r="G165" s="1">
        <v>0.6</v>
      </c>
      <c r="H165" s="1">
        <v>0.2</v>
      </c>
      <c r="I165" s="1">
        <v>0.4</v>
      </c>
      <c r="J165" t="s">
        <v>115</v>
      </c>
      <c r="K165" s="3">
        <v>1507.71012449646</v>
      </c>
      <c r="L165" s="4">
        <v>0.0431062474474665</v>
      </c>
      <c r="M165" s="4">
        <v>0.0498514107354358</v>
      </c>
      <c r="N165" s="4">
        <v>0.171490325995757</v>
      </c>
      <c r="O165" s="4">
        <v>-0.121638915260321</v>
      </c>
      <c r="P165" s="4">
        <v>0.007678278</v>
      </c>
      <c r="Q165" t="s">
        <v>115</v>
      </c>
      <c r="R165" s="3">
        <v>1507.71012449646</v>
      </c>
      <c r="S165" s="4">
        <v>0.0431062474474665</v>
      </c>
      <c r="T165" s="4">
        <v>0.0498514107354358</v>
      </c>
      <c r="U165" s="4">
        <v>0.171490325995757</v>
      </c>
      <c r="V165" s="4">
        <v>-0.121638915260321</v>
      </c>
      <c r="W165" s="4">
        <v>0.007678278</v>
      </c>
    </row>
    <row r="166" spans="1:23" x14ac:dyDescent="0.25">
      <c r="A166">
        <v>89258</v>
      </c>
      <c r="B166" t="s">
        <v>21</v>
      </c>
      <c r="C166" t="s">
        <v>22</v>
      </c>
      <c r="D166">
        <v>4</v>
      </c>
      <c r="E166" s="1">
        <v>0.151946935265938</v>
      </c>
      <c r="F166" s="1">
        <v>0.0243524421544175</v>
      </c>
      <c r="G166" s="1">
        <v>0.2</v>
      </c>
      <c r="H166" s="1">
        <v>0.6</v>
      </c>
      <c r="I166" s="1">
        <v>0.4</v>
      </c>
      <c r="J166" t="s">
        <v>115</v>
      </c>
      <c r="K166" s="3">
        <v>31532.2783813477</v>
      </c>
      <c r="L166" s="4">
        <v>0.0576564260774787</v>
      </c>
      <c r="M166" s="4">
        <v>0.362780031657716</v>
      </c>
      <c r="N166" s="4">
        <v>0.171490325995757</v>
      </c>
      <c r="O166" s="4">
        <v>0.191289705661959</v>
      </c>
      <c r="P166" s="4">
        <v>0.007678278</v>
      </c>
      <c r="Q166" t="s">
        <v>115</v>
      </c>
      <c r="R166" s="3">
        <v>31532.2783813477</v>
      </c>
      <c r="S166" s="4">
        <v>0.0576564260774787</v>
      </c>
      <c r="T166" s="4">
        <v>0.362780031657716</v>
      </c>
      <c r="U166" s="4">
        <v>0.171490325995757</v>
      </c>
      <c r="V166" s="4">
        <v>0.191289705661959</v>
      </c>
      <c r="W166" s="4">
        <v>0.007678278</v>
      </c>
    </row>
    <row r="167" spans="1:23" x14ac:dyDescent="0.25">
      <c r="A167">
        <v>90925</v>
      </c>
      <c r="B167" t="s">
        <v>105</v>
      </c>
      <c r="C167" t="s">
        <v>106</v>
      </c>
      <c r="D167">
        <v>4</v>
      </c>
      <c r="E167" s="1">
        <v>0.0562445918661667</v>
      </c>
      <c r="F167" s="1">
        <v>-0.168456415085479</v>
      </c>
      <c r="G167" s="1">
        <v>0.6</v>
      </c>
      <c r="H167" s="1">
        <v>0.2</v>
      </c>
      <c r="I167" s="1">
        <v>0.4</v>
      </c>
      <c r="J167" t="s">
        <v>115</v>
      </c>
      <c r="K167" s="3">
        <v>10276.6125</v>
      </c>
      <c r="L167" s="4">
        <v>0.141290804884127</v>
      </c>
      <c r="M167" s="4">
        <v>0.25002369941174</v>
      </c>
      <c r="N167" s="4">
        <v>0.171490325995757</v>
      </c>
      <c r="O167" s="4">
        <v>0.0785333734159832</v>
      </c>
      <c r="P167" s="4">
        <v>0.007678278</v>
      </c>
      <c r="Q167" t="s">
        <v>115</v>
      </c>
      <c r="R167" s="3">
        <v>10276.6125</v>
      </c>
      <c r="S167" s="4">
        <v>0.141290804884127</v>
      </c>
      <c r="T167" s="4">
        <v>0.25002369941174</v>
      </c>
      <c r="U167" s="4">
        <v>0.171490325995757</v>
      </c>
      <c r="V167" s="4">
        <v>0.0785333734159832</v>
      </c>
      <c r="W167" s="4">
        <v>0.007678278</v>
      </c>
    </row>
    <row r="168" spans="1:23" x14ac:dyDescent="0.25">
      <c r="A168">
        <v>93330</v>
      </c>
      <c r="B168" t="s">
        <v>138</v>
      </c>
      <c r="C168" t="s">
        <v>139</v>
      </c>
      <c r="D168">
        <v>4</v>
      </c>
      <c r="E168" s="1">
        <v>0.0783400381113699</v>
      </c>
      <c r="F168" s="1">
        <v>-0.0325632323971651</v>
      </c>
      <c r="G168" s="1">
        <v>0.4</v>
      </c>
      <c r="H168" s="1">
        <v>0.4</v>
      </c>
      <c r="I168" s="1">
        <v>0.4</v>
      </c>
      <c r="J168" t="s">
        <v>115</v>
      </c>
      <c r="K168" s="3">
        <v>2692.91311896515</v>
      </c>
      <c r="L168" s="4">
        <v>0.0487183122765909</v>
      </c>
      <c r="M168" s="4">
        <v>0.300571480617441</v>
      </c>
      <c r="N168" s="4">
        <v>0.171490325995757</v>
      </c>
      <c r="O168" s="4">
        <v>0.129081154621684</v>
      </c>
      <c r="P168" s="4">
        <v>0.007678278</v>
      </c>
      <c r="Q168" t="s">
        <v>115</v>
      </c>
      <c r="R168" s="3">
        <v>2692.91311896515</v>
      </c>
      <c r="S168" s="4">
        <v>0.0487183122765909</v>
      </c>
      <c r="T168" s="4">
        <v>0.300571480617441</v>
      </c>
      <c r="U168" s="4">
        <v>0.171490325995757</v>
      </c>
      <c r="V168" s="4">
        <v>0.129081154621684</v>
      </c>
      <c r="W168" s="4">
        <v>0.007678278</v>
      </c>
    </row>
    <row r="169" spans="1:23" x14ac:dyDescent="0.25">
      <c r="A169">
        <v>59396</v>
      </c>
      <c r="B169" t="s">
        <v>100</v>
      </c>
      <c r="C169" t="s">
        <v>101</v>
      </c>
      <c r="D169">
        <v>4</v>
      </c>
      <c r="E169" s="1">
        <v>0.0874932903918411</v>
      </c>
      <c r="F169" s="1">
        <v>-0.121939216055196</v>
      </c>
      <c r="G169" s="1">
        <v>0.4</v>
      </c>
      <c r="H169" s="1">
        <v>0.2</v>
      </c>
      <c r="I169" s="1">
        <v>0.3</v>
      </c>
      <c r="J169" t="s">
        <v>115</v>
      </c>
      <c r="K169" s="3">
        <v>5057.3752800293</v>
      </c>
      <c r="L169" s="4">
        <v>0.0425624242862568</v>
      </c>
      <c r="M169" s="4">
        <v>0.0728058394542661</v>
      </c>
      <c r="N169" s="4">
        <v>0.171490325995757</v>
      </c>
      <c r="O169" s="4">
        <v>-0.0986844865414906</v>
      </c>
      <c r="P169" s="4">
        <v>0.007678278</v>
      </c>
      <c r="Q169" t="s">
        <v>115</v>
      </c>
      <c r="R169" s="3">
        <v>5057.3752800293</v>
      </c>
      <c r="S169" s="4">
        <v>0.0425624242862568</v>
      </c>
      <c r="T169" s="4">
        <v>0.0728058394542661</v>
      </c>
      <c r="U169" s="4">
        <v>0.171490325995757</v>
      </c>
      <c r="V169" s="4">
        <v>-0.0986844865414906</v>
      </c>
      <c r="W169" s="4">
        <v>0.007678278</v>
      </c>
    </row>
    <row r="170" spans="1:23" x14ac:dyDescent="0.25">
      <c r="A170">
        <v>59459</v>
      </c>
      <c r="B170" t="s">
        <v>63</v>
      </c>
      <c r="C170" t="s">
        <v>64</v>
      </c>
      <c r="D170">
        <v>4</v>
      </c>
      <c r="E170" s="1">
        <v>0.0973772815878079</v>
      </c>
      <c r="F170" s="1">
        <v>-0.0636649855189618</v>
      </c>
      <c r="G170" s="1">
        <v>0.2</v>
      </c>
      <c r="H170" s="1">
        <v>0.4</v>
      </c>
      <c r="I170" s="1">
        <v>0.3</v>
      </c>
      <c r="J170" t="s">
        <v>115</v>
      </c>
      <c r="K170" s="3">
        <v>34806.7010676956</v>
      </c>
      <c r="L170" s="4">
        <v>-0.00352376668166142</v>
      </c>
      <c r="M170" s="4">
        <v>0.118661331164528</v>
      </c>
      <c r="N170" s="4">
        <v>0.171490325995757</v>
      </c>
      <c r="O170" s="4">
        <v>-0.052828994831229</v>
      </c>
      <c r="P170" s="4">
        <v>0.007678278</v>
      </c>
      <c r="Q170" t="s">
        <v>115</v>
      </c>
      <c r="R170" s="3">
        <v>34806.7010676956</v>
      </c>
      <c r="S170" s="4">
        <v>-0.00352376668166142</v>
      </c>
      <c r="T170" s="4">
        <v>0.118661331164528</v>
      </c>
      <c r="U170" s="4">
        <v>0.171490325995757</v>
      </c>
      <c r="V170" s="4">
        <v>-0.052828994831229</v>
      </c>
      <c r="W170" s="4">
        <v>0.007678278</v>
      </c>
    </row>
    <row r="171" spans="1:23" x14ac:dyDescent="0.25">
      <c r="A171">
        <v>71175</v>
      </c>
      <c r="B171" t="s">
        <v>65</v>
      </c>
      <c r="C171" t="s">
        <v>66</v>
      </c>
      <c r="D171">
        <v>4</v>
      </c>
      <c r="E171" s="1">
        <v>0.105437068188645</v>
      </c>
      <c r="F171" s="1">
        <v>-0.0684488387560551</v>
      </c>
      <c r="G171" s="1">
        <v>0.2</v>
      </c>
      <c r="H171" s="1">
        <v>0.4</v>
      </c>
      <c r="I171" s="1">
        <v>0.3</v>
      </c>
      <c r="J171" t="s">
        <v>115</v>
      </c>
      <c r="K171" s="3">
        <v>7558.35882767487</v>
      </c>
      <c r="L171" s="4">
        <v>0.0224194346155308</v>
      </c>
      <c r="M171" s="4">
        <v>0.243297436984479</v>
      </c>
      <c r="N171" s="4">
        <v>0.171490325995757</v>
      </c>
      <c r="O171" s="4">
        <v>0.0718071109887222</v>
      </c>
      <c r="P171" s="4">
        <v>0.007678278</v>
      </c>
      <c r="Q171" t="s">
        <v>115</v>
      </c>
      <c r="R171" s="3">
        <v>7558.35882767487</v>
      </c>
      <c r="S171" s="4">
        <v>0.0224194346155308</v>
      </c>
      <c r="T171" s="4">
        <v>0.243297436984479</v>
      </c>
      <c r="U171" s="4">
        <v>0.171490325995757</v>
      </c>
      <c r="V171" s="4">
        <v>0.0718071109887222</v>
      </c>
      <c r="W171" s="4">
        <v>0.007678278</v>
      </c>
    </row>
    <row r="172" spans="1:23" x14ac:dyDescent="0.25">
      <c r="A172">
        <v>75175</v>
      </c>
      <c r="B172" t="s">
        <v>71</v>
      </c>
      <c r="C172" t="s">
        <v>72</v>
      </c>
      <c r="D172">
        <v>4</v>
      </c>
      <c r="E172" s="1">
        <v>0.16358024691358</v>
      </c>
      <c r="F172" s="1">
        <v>-0.0564729245713471</v>
      </c>
      <c r="G172" s="1">
        <v>0.2</v>
      </c>
      <c r="H172" s="1">
        <v>0.4</v>
      </c>
      <c r="I172" s="1">
        <v>0.3</v>
      </c>
      <c r="J172" t="s">
        <v>115</v>
      </c>
      <c r="K172" s="3">
        <v>937.629219526291</v>
      </c>
      <c r="L172" s="4">
        <v>-0.354974704890388</v>
      </c>
      <c r="M172" s="4">
        <v>0.137499969952564</v>
      </c>
      <c r="N172" s="4">
        <v>0.171490325995757</v>
      </c>
      <c r="O172" s="4">
        <v>-0.0339903560431929</v>
      </c>
      <c r="P172" s="4">
        <v>0.007678278</v>
      </c>
      <c r="Q172" t="s">
        <v>115</v>
      </c>
      <c r="R172" s="3">
        <v>937.629219526291</v>
      </c>
      <c r="S172" s="4">
        <v>-0.354974704890388</v>
      </c>
      <c r="T172" s="4">
        <v>0.137499969952564</v>
      </c>
      <c r="U172" s="4">
        <v>0.171490325995757</v>
      </c>
      <c r="V172" s="4">
        <v>-0.0339903560431929</v>
      </c>
      <c r="W172" s="4">
        <v>0.007678278</v>
      </c>
    </row>
    <row r="173" spans="1:23" x14ac:dyDescent="0.25">
      <c r="A173">
        <v>76804</v>
      </c>
      <c r="B173" t="s">
        <v>107</v>
      </c>
      <c r="C173" t="s">
        <v>108</v>
      </c>
      <c r="D173">
        <v>4</v>
      </c>
      <c r="E173" s="1">
        <v>0.390713476783692</v>
      </c>
      <c r="F173" s="1">
        <v>-0.0939700163597703</v>
      </c>
      <c r="G173" s="1">
        <v>0.2</v>
      </c>
      <c r="H173" s="1">
        <v>0.4</v>
      </c>
      <c r="I173" s="1">
        <v>0.3</v>
      </c>
      <c r="J173" t="s">
        <v>115</v>
      </c>
      <c r="K173" s="3">
        <v>2026.78413502884</v>
      </c>
      <c r="L173" s="4">
        <v>0.104701160729347</v>
      </c>
      <c r="M173" s="4">
        <v>0.500709168677455</v>
      </c>
      <c r="N173" s="4">
        <v>0.171490325995757</v>
      </c>
      <c r="O173" s="4">
        <v>0.329218842681698</v>
      </c>
      <c r="P173" s="4">
        <v>0.007678278</v>
      </c>
      <c r="Q173" t="s">
        <v>115</v>
      </c>
      <c r="R173" s="3">
        <v>2026.78413502884</v>
      </c>
      <c r="S173" s="4">
        <v>0.104701160729347</v>
      </c>
      <c r="T173" s="4">
        <v>0.500709168677455</v>
      </c>
      <c r="U173" s="4">
        <v>0.171490325995757</v>
      </c>
      <c r="V173" s="4">
        <v>0.329218842681698</v>
      </c>
      <c r="W173" s="4">
        <v>0.007678278</v>
      </c>
    </row>
    <row r="174" spans="1:23" x14ac:dyDescent="0.25">
      <c r="A174">
        <v>87842</v>
      </c>
      <c r="B174" t="s">
        <v>51</v>
      </c>
      <c r="C174" t="s">
        <v>52</v>
      </c>
      <c r="D174">
        <v>4</v>
      </c>
      <c r="E174" s="1">
        <v>0.0956233146650073</v>
      </c>
      <c r="F174" s="1">
        <v>-0.0876679046498485</v>
      </c>
      <c r="G174" s="1">
        <v>0.2</v>
      </c>
      <c r="H174" s="1">
        <v>0.4</v>
      </c>
      <c r="I174" s="1">
        <v>0.3</v>
      </c>
      <c r="J174" t="s">
        <v>115</v>
      </c>
      <c r="K174" s="3">
        <v>43759.9086217194</v>
      </c>
      <c r="L174" s="4">
        <v>-0.0570199104300437</v>
      </c>
      <c r="M174" s="4">
        <v>0.14664149073908</v>
      </c>
      <c r="N174" s="4">
        <v>0.171490325995757</v>
      </c>
      <c r="O174" s="4">
        <v>-0.0248488352566767</v>
      </c>
      <c r="P174" s="4">
        <v>0.007678278</v>
      </c>
      <c r="Q174" t="s">
        <v>115</v>
      </c>
      <c r="R174" s="3">
        <v>43759.9086217194</v>
      </c>
      <c r="S174" s="4">
        <v>-0.0570199104300437</v>
      </c>
      <c r="T174" s="4">
        <v>0.14664149073908</v>
      </c>
      <c r="U174" s="4">
        <v>0.171490325995757</v>
      </c>
      <c r="V174" s="4">
        <v>-0.0248488352566767</v>
      </c>
      <c r="W174" s="4">
        <v>0.007678278</v>
      </c>
    </row>
    <row r="175" spans="1:23" x14ac:dyDescent="0.25">
      <c r="A175">
        <v>13919</v>
      </c>
      <c r="B175" t="s">
        <v>113</v>
      </c>
      <c r="C175" t="s">
        <v>114</v>
      </c>
      <c r="D175">
        <v>4</v>
      </c>
      <c r="E175" s="1">
        <v>0.775017743080199</v>
      </c>
      <c r="F175" s="1">
        <v>-0.185416103368932</v>
      </c>
      <c r="G175" s="1">
        <v>0.2</v>
      </c>
      <c r="H175" s="1">
        <v>0.2</v>
      </c>
      <c r="I175" s="1">
        <v>0.2</v>
      </c>
      <c r="J175" t="s">
        <v>115</v>
      </c>
      <c r="K175" s="3">
        <v>742.708078689575</v>
      </c>
      <c r="L175" s="4">
        <v>0.588340117751882</v>
      </c>
      <c r="M175" s="4">
        <v>0.00181933348583763</v>
      </c>
      <c r="N175" s="4">
        <v>0.171490325995757</v>
      </c>
      <c r="O175" s="4">
        <v>-0.169670992509919</v>
      </c>
      <c r="P175" s="4">
        <v>0.007678278</v>
      </c>
      <c r="Q175" t="s">
        <v>115</v>
      </c>
      <c r="R175" s="3">
        <v>742.708078689575</v>
      </c>
      <c r="S175" s="4">
        <v>0.588340117751882</v>
      </c>
      <c r="T175" s="4">
        <v>0.00181933348583763</v>
      </c>
      <c r="U175" s="4">
        <v>0.171490325995757</v>
      </c>
      <c r="V175" s="4">
        <v>-0.169670992509919</v>
      </c>
      <c r="W175" s="4">
        <v>0.007678278</v>
      </c>
    </row>
    <row r="176" spans="1:23" x14ac:dyDescent="0.25">
      <c r="A176">
        <v>91603</v>
      </c>
      <c r="B176" t="s">
        <v>140</v>
      </c>
      <c r="C176" t="s">
        <v>141</v>
      </c>
      <c r="D176">
        <v>4</v>
      </c>
      <c r="E176" s="1">
        <v>0.0928873010717765</v>
      </c>
      <c r="F176" s="1">
        <v>-0.145234130918674</v>
      </c>
      <c r="G176" s="1">
        <v>0.2</v>
      </c>
      <c r="H176" s="1">
        <v>0.2</v>
      </c>
      <c r="I176" s="1">
        <v>0.2</v>
      </c>
      <c r="J176" t="s">
        <v>115</v>
      </c>
      <c r="K176" s="3">
        <v>4224.584</v>
      </c>
      <c r="L176" s="4">
        <v>0.142922109037242</v>
      </c>
      <c r="M176" s="4">
        <v>-0.490515837615104</v>
      </c>
      <c r="N176" s="4">
        <v>0.171490325995757</v>
      </c>
      <c r="O176" s="4">
        <v>-0.662006163610861</v>
      </c>
      <c r="P176" s="4">
        <v>0.007678278</v>
      </c>
      <c r="Q176" t="s">
        <v>115</v>
      </c>
      <c r="R176" s="3">
        <v>4224.584</v>
      </c>
      <c r="S176" s="4">
        <v>0.142922109037242</v>
      </c>
      <c r="T176" s="4">
        <v>-0.490515837615104</v>
      </c>
      <c r="U176" s="4">
        <v>0.171490325995757</v>
      </c>
      <c r="V176" s="4">
        <v>-0.662006163610861</v>
      </c>
      <c r="W176" s="4">
        <v>0.007678278</v>
      </c>
    </row>
    <row r="177" spans="1:23" x14ac:dyDescent="0.25">
      <c r="A177">
        <v>48653</v>
      </c>
      <c r="B177" t="s">
        <v>39</v>
      </c>
      <c r="C177" t="s">
        <v>40</v>
      </c>
      <c r="D177">
        <v>5</v>
      </c>
      <c r="E177" s="1">
        <v>0.0201440964564035</v>
      </c>
      <c r="F177" s="1">
        <v>0.413878748540834</v>
      </c>
      <c r="G177" s="1">
        <v>1</v>
      </c>
      <c r="H177" s="1">
        <v>1</v>
      </c>
      <c r="I177" s="1">
        <v>1</v>
      </c>
      <c r="J177" t="s">
        <v>142</v>
      </c>
      <c r="K177" s="3">
        <v>34725.0745953369</v>
      </c>
      <c r="L177" s="4">
        <v>0.0118440199672125</v>
      </c>
      <c r="M177" s="4">
        <v>0.261331577327627</v>
      </c>
      <c r="N177" s="4">
        <v>0.142968534430544</v>
      </c>
      <c r="O177" s="4">
        <v>0.118363042897083</v>
      </c>
      <c r="P177" s="4">
        <v>0.005759364</v>
      </c>
      <c r="Q177" t="s">
        <v>142</v>
      </c>
      <c r="R177" s="3">
        <v>34725.0745953369</v>
      </c>
      <c r="S177" s="4">
        <v>0.0118440199672125</v>
      </c>
      <c r="T177" s="4">
        <v>0.261331577327627</v>
      </c>
      <c r="U177" s="4">
        <v>0.142968534430544</v>
      </c>
      <c r="V177" s="4">
        <v>0.118363042897083</v>
      </c>
      <c r="W177" s="4">
        <v>0.005759364</v>
      </c>
    </row>
    <row r="178" spans="1:23" x14ac:dyDescent="0.25">
      <c r="A178">
        <v>76722</v>
      </c>
      <c r="B178" t="s">
        <v>143</v>
      </c>
      <c r="C178" t="s">
        <v>144</v>
      </c>
      <c r="D178">
        <v>5</v>
      </c>
      <c r="E178" s="1">
        <v>0.0186497575531518</v>
      </c>
      <c r="F178" s="1">
        <v>0.0800792580208402</v>
      </c>
      <c r="G178" s="1">
        <v>1</v>
      </c>
      <c r="H178" s="1">
        <v>1</v>
      </c>
      <c r="I178" s="1">
        <v>1</v>
      </c>
      <c r="J178" t="s">
        <v>142</v>
      </c>
      <c r="K178" s="3">
        <v>1083.23298072815</v>
      </c>
      <c r="L178" s="4">
        <v>0.0268887914657315</v>
      </c>
      <c r="M178" s="4">
        <v>0.266147044041656</v>
      </c>
      <c r="N178" s="4">
        <v>0.142968534430544</v>
      </c>
      <c r="O178" s="4">
        <v>0.123178509611112</v>
      </c>
      <c r="P178" s="4">
        <v>0.005759364</v>
      </c>
      <c r="Q178" t="s">
        <v>142</v>
      </c>
      <c r="R178" s="3">
        <v>1083.23298072815</v>
      </c>
      <c r="S178" s="4">
        <v>0.0268887914657315</v>
      </c>
      <c r="T178" s="4">
        <v>0.266147044041656</v>
      </c>
      <c r="U178" s="4">
        <v>0.142968534430544</v>
      </c>
      <c r="V178" s="4">
        <v>0.123178509611112</v>
      </c>
      <c r="W178" s="4">
        <v>0.005759364</v>
      </c>
    </row>
    <row r="179" spans="1:23" x14ac:dyDescent="0.25">
      <c r="A179">
        <v>93089</v>
      </c>
      <c r="B179" t="s">
        <v>37</v>
      </c>
      <c r="C179" t="s">
        <v>38</v>
      </c>
      <c r="D179">
        <v>5</v>
      </c>
      <c r="E179" s="1">
        <v>0.0330171245534064</v>
      </c>
      <c r="F179" s="1">
        <v>0.0953497358576968</v>
      </c>
      <c r="G179" s="1">
        <v>1</v>
      </c>
      <c r="H179" s="1">
        <v>1</v>
      </c>
      <c r="I179" s="1">
        <v>1</v>
      </c>
      <c r="J179" t="s">
        <v>142</v>
      </c>
      <c r="K179" s="3">
        <v>13880.6372218704</v>
      </c>
      <c r="L179" s="4">
        <v>-0.0352077601172142</v>
      </c>
      <c r="M179" s="4">
        <v>0.313388531343174</v>
      </c>
      <c r="N179" s="4">
        <v>0.142968534430544</v>
      </c>
      <c r="O179" s="4">
        <v>0.17041999691263</v>
      </c>
      <c r="P179" s="4">
        <v>0.005759364</v>
      </c>
      <c r="Q179" t="s">
        <v>142</v>
      </c>
      <c r="R179" s="3">
        <v>13880.6372218704</v>
      </c>
      <c r="S179" s="4">
        <v>-0.0352077601172142</v>
      </c>
      <c r="T179" s="4">
        <v>0.313388531343174</v>
      </c>
      <c r="U179" s="4">
        <v>0.142968534430544</v>
      </c>
      <c r="V179" s="4">
        <v>0.17041999691263</v>
      </c>
      <c r="W179" s="4">
        <v>0.005759364</v>
      </c>
    </row>
    <row r="180" spans="1:23" x14ac:dyDescent="0.25">
      <c r="A180">
        <v>23473</v>
      </c>
      <c r="B180" t="s">
        <v>23</v>
      </c>
      <c r="C180" t="s">
        <v>24</v>
      </c>
      <c r="D180">
        <v>5</v>
      </c>
      <c r="E180" s="1">
        <v>0.0473927392739274</v>
      </c>
      <c r="F180" s="1">
        <v>0.0795663406668136</v>
      </c>
      <c r="G180" s="1">
        <v>0.8</v>
      </c>
      <c r="H180" s="1">
        <v>1</v>
      </c>
      <c r="I180" s="1">
        <v>0.9</v>
      </c>
      <c r="J180" t="s">
        <v>142</v>
      </c>
      <c r="K180" s="3">
        <v>11874.5544998169</v>
      </c>
      <c r="L180" s="4">
        <v>0.0597043951769739</v>
      </c>
      <c r="M180" s="4">
        <v>0.0239122392597435</v>
      </c>
      <c r="N180" s="4">
        <v>0.142968534430544</v>
      </c>
      <c r="O180" s="4">
        <v>-0.119056295170801</v>
      </c>
      <c r="P180" s="4">
        <v>0.005759364</v>
      </c>
      <c r="Q180" t="s">
        <v>142</v>
      </c>
      <c r="R180" s="3">
        <v>11874.5544998169</v>
      </c>
      <c r="S180" s="4">
        <v>0.0597043951769739</v>
      </c>
      <c r="T180" s="4">
        <v>0.0239122392597435</v>
      </c>
      <c r="U180" s="4">
        <v>0.142968534430544</v>
      </c>
      <c r="V180" s="4">
        <v>-0.119056295170801</v>
      </c>
      <c r="W180" s="4">
        <v>0.005759364</v>
      </c>
    </row>
    <row r="181" spans="1:23" x14ac:dyDescent="0.25">
      <c r="A181">
        <v>52936</v>
      </c>
      <c r="B181" t="s">
        <v>29</v>
      </c>
      <c r="C181" t="s">
        <v>30</v>
      </c>
      <c r="D181">
        <v>5</v>
      </c>
      <c r="E181" s="1">
        <v>0.0219232685600399</v>
      </c>
      <c r="F181" s="1">
        <v>0.0732484227059851</v>
      </c>
      <c r="G181" s="1">
        <v>1</v>
      </c>
      <c r="H181" s="1">
        <v>0.8</v>
      </c>
      <c r="I181" s="1">
        <v>0.9</v>
      </c>
      <c r="J181" t="s">
        <v>142</v>
      </c>
      <c r="K181" s="3">
        <v>2986.794</v>
      </c>
      <c r="L181" s="4">
        <v>0.0725693682916292</v>
      </c>
      <c r="M181" s="4">
        <v>-0.117787790180048</v>
      </c>
      <c r="N181" s="4">
        <v>0.142968534430544</v>
      </c>
      <c r="O181" s="4">
        <v>-0.260756324610592</v>
      </c>
      <c r="P181" s="4">
        <v>0.005759364</v>
      </c>
      <c r="Q181" t="s">
        <v>142</v>
      </c>
      <c r="R181" s="3">
        <v>2986.794</v>
      </c>
      <c r="S181" s="4">
        <v>0.0725693682916292</v>
      </c>
      <c r="T181" s="4">
        <v>-0.117787790180048</v>
      </c>
      <c r="U181" s="4">
        <v>0.142968534430544</v>
      </c>
      <c r="V181" s="4">
        <v>-0.260756324610592</v>
      </c>
      <c r="W181" s="4">
        <v>0.005759364</v>
      </c>
    </row>
    <row r="182" spans="1:23" x14ac:dyDescent="0.25">
      <c r="A182">
        <v>77120</v>
      </c>
      <c r="B182" t="s">
        <v>124</v>
      </c>
      <c r="C182" t="s">
        <v>125</v>
      </c>
      <c r="D182">
        <v>5</v>
      </c>
      <c r="E182" s="1">
        <v>0.0476635514018692</v>
      </c>
      <c r="F182" s="1">
        <v>0.0993119752746727</v>
      </c>
      <c r="G182" s="1">
        <v>0.8</v>
      </c>
      <c r="H182" s="1">
        <v>1</v>
      </c>
      <c r="I182" s="1">
        <v>0.9</v>
      </c>
      <c r="J182" t="s">
        <v>142</v>
      </c>
      <c r="K182" s="3">
        <v>1532.52536906815</v>
      </c>
      <c r="L182" s="4">
        <v>0.0341569120526972</v>
      </c>
      <c r="M182" s="4">
        <v>0.187268520119391</v>
      </c>
      <c r="N182" s="4">
        <v>0.142968534430544</v>
      </c>
      <c r="O182" s="4">
        <v>0.0442999856888475</v>
      </c>
      <c r="P182" s="4">
        <v>0.005759364</v>
      </c>
      <c r="Q182" t="s">
        <v>142</v>
      </c>
      <c r="R182" s="3">
        <v>1532.52536906815</v>
      </c>
      <c r="S182" s="4">
        <v>0.0341569120526972</v>
      </c>
      <c r="T182" s="4">
        <v>0.187268520119391</v>
      </c>
      <c r="U182" s="4">
        <v>0.142968534430544</v>
      </c>
      <c r="V182" s="4">
        <v>0.0442999856888475</v>
      </c>
      <c r="W182" s="4">
        <v>0.005759364</v>
      </c>
    </row>
    <row r="183" spans="1:23" x14ac:dyDescent="0.25">
      <c r="A183">
        <v>78156</v>
      </c>
      <c r="B183" t="s">
        <v>116</v>
      </c>
      <c r="C183" t="s">
        <v>117</v>
      </c>
      <c r="D183">
        <v>5</v>
      </c>
      <c r="E183" s="1">
        <v>0.0247797356828194</v>
      </c>
      <c r="F183" s="1">
        <v>0.0706811590400511</v>
      </c>
      <c r="G183" s="1">
        <v>1</v>
      </c>
      <c r="H183" s="1">
        <v>0.8</v>
      </c>
      <c r="I183" s="1">
        <v>0.9</v>
      </c>
      <c r="J183" t="s">
        <v>142</v>
      </c>
      <c r="K183" s="3">
        <v>1554.8325</v>
      </c>
      <c r="L183" s="4">
        <v>0.0459579600856993</v>
      </c>
      <c r="M183" s="4">
        <v>0.187156955309004</v>
      </c>
      <c r="N183" s="4">
        <v>0.142968534430544</v>
      </c>
      <c r="O183" s="4">
        <v>0.0441884208784598</v>
      </c>
      <c r="P183" s="4">
        <v>0.005759364</v>
      </c>
      <c r="Q183" t="s">
        <v>142</v>
      </c>
      <c r="R183" s="3">
        <v>1554.8325</v>
      </c>
      <c r="S183" s="4">
        <v>0.0459579600856993</v>
      </c>
      <c r="T183" s="4">
        <v>0.187156955309004</v>
      </c>
      <c r="U183" s="4">
        <v>0.142968534430544</v>
      </c>
      <c r="V183" s="4">
        <v>0.0441884208784598</v>
      </c>
      <c r="W183" s="4">
        <v>0.005759364</v>
      </c>
    </row>
    <row r="184" spans="1:23" x14ac:dyDescent="0.25">
      <c r="A184">
        <v>82486</v>
      </c>
      <c r="B184" t="s">
        <v>47</v>
      </c>
      <c r="C184" t="s">
        <v>48</v>
      </c>
      <c r="D184">
        <v>5</v>
      </c>
      <c r="E184" s="1">
        <v>0.0357492218763895</v>
      </c>
      <c r="F184" s="1">
        <v>0.0785131005957487</v>
      </c>
      <c r="G184" s="1">
        <v>1</v>
      </c>
      <c r="H184" s="1">
        <v>0.8</v>
      </c>
      <c r="I184" s="1">
        <v>0.9</v>
      </c>
      <c r="J184" t="s">
        <v>142</v>
      </c>
      <c r="K184" s="3">
        <v>5776.85821590424</v>
      </c>
      <c r="L184" s="4">
        <v>0.0605264136756497</v>
      </c>
      <c r="M184" s="4">
        <v>-0.0143598669982409</v>
      </c>
      <c r="N184" s="4">
        <v>0.142968534430544</v>
      </c>
      <c r="O184" s="4">
        <v>-0.157328401428785</v>
      </c>
      <c r="P184" s="4">
        <v>0.005759364</v>
      </c>
      <c r="Q184" t="s">
        <v>142</v>
      </c>
      <c r="R184" s="3">
        <v>5776.85821590424</v>
      </c>
      <c r="S184" s="4">
        <v>0.0605264136756497</v>
      </c>
      <c r="T184" s="4">
        <v>-0.0143598669982409</v>
      </c>
      <c r="U184" s="4">
        <v>0.142968534430544</v>
      </c>
      <c r="V184" s="4">
        <v>-0.157328401428785</v>
      </c>
      <c r="W184" s="4">
        <v>0.005759364</v>
      </c>
    </row>
    <row r="185" spans="1:23" x14ac:dyDescent="0.25">
      <c r="A185">
        <v>82775</v>
      </c>
      <c r="B185" t="s">
        <v>97</v>
      </c>
      <c r="C185" t="s">
        <v>98</v>
      </c>
      <c r="D185">
        <v>5</v>
      </c>
      <c r="E185" s="1">
        <v>0.0484784889821616</v>
      </c>
      <c r="F185" s="1">
        <v>0.0842413608097244</v>
      </c>
      <c r="G185" s="1">
        <v>0.8</v>
      </c>
      <c r="H185" s="1">
        <v>1</v>
      </c>
      <c r="I185" s="1">
        <v>0.9</v>
      </c>
      <c r="J185" t="s">
        <v>142</v>
      </c>
      <c r="K185" s="3">
        <v>19312.1676578903</v>
      </c>
      <c r="L185" s="4">
        <v>0.00104683195592286</v>
      </c>
      <c r="M185" s="4">
        <v>0.0789801446013523</v>
      </c>
      <c r="N185" s="4">
        <v>0.142968534430544</v>
      </c>
      <c r="O185" s="4">
        <v>-0.0639883898291917</v>
      </c>
      <c r="P185" s="4">
        <v>0.005759364</v>
      </c>
      <c r="Q185" t="s">
        <v>142</v>
      </c>
      <c r="R185" s="3">
        <v>19312.1676578903</v>
      </c>
      <c r="S185" s="4">
        <v>0.00104683195592286</v>
      </c>
      <c r="T185" s="4">
        <v>0.0789801446013523</v>
      </c>
      <c r="U185" s="4">
        <v>0.142968534430544</v>
      </c>
      <c r="V185" s="4">
        <v>-0.0639883898291917</v>
      </c>
      <c r="W185" s="4">
        <v>0.005759364</v>
      </c>
    </row>
    <row r="186" spans="1:23" x14ac:dyDescent="0.25">
      <c r="A186">
        <v>90272</v>
      </c>
      <c r="B186" t="s">
        <v>55</v>
      </c>
      <c r="C186" t="s">
        <v>56</v>
      </c>
      <c r="D186">
        <v>5</v>
      </c>
      <c r="E186" s="1">
        <v>0.0399037058651882</v>
      </c>
      <c r="F186" s="1">
        <v>0.168051540118926</v>
      </c>
      <c r="G186" s="1">
        <v>0.8</v>
      </c>
      <c r="H186" s="1">
        <v>1</v>
      </c>
      <c r="I186" s="1">
        <v>0.9</v>
      </c>
      <c r="J186" t="s">
        <v>142</v>
      </c>
      <c r="K186" s="3">
        <v>7989.16297137451</v>
      </c>
      <c r="L186" s="4">
        <v>0.0249744424126362</v>
      </c>
      <c r="M186" s="4">
        <v>0.290279368620588</v>
      </c>
      <c r="N186" s="4">
        <v>0.142968534430544</v>
      </c>
      <c r="O186" s="4">
        <v>0.147310834190044</v>
      </c>
      <c r="P186" s="4">
        <v>0.005759364</v>
      </c>
      <c r="Q186" t="s">
        <v>142</v>
      </c>
      <c r="R186" s="3">
        <v>7989.16297137451</v>
      </c>
      <c r="S186" s="4">
        <v>0.0249744424126362</v>
      </c>
      <c r="T186" s="4">
        <v>0.290279368620588</v>
      </c>
      <c r="U186" s="4">
        <v>0.142968534430544</v>
      </c>
      <c r="V186" s="4">
        <v>0.147310834190044</v>
      </c>
      <c r="W186" s="4">
        <v>0.005759364</v>
      </c>
    </row>
    <row r="187" spans="1:23" x14ac:dyDescent="0.25">
      <c r="A187">
        <v>10395</v>
      </c>
      <c r="B187" t="s">
        <v>120</v>
      </c>
      <c r="C187" t="s">
        <v>121</v>
      </c>
      <c r="D187">
        <v>5</v>
      </c>
      <c r="E187" s="1">
        <v>0.0484076433121019</v>
      </c>
      <c r="F187" s="1">
        <v>0.0700076403210176</v>
      </c>
      <c r="G187" s="1">
        <v>0.8</v>
      </c>
      <c r="H187" s="1">
        <v>0.8</v>
      </c>
      <c r="I187" s="1">
        <v>0.8</v>
      </c>
      <c r="J187" t="s">
        <v>142</v>
      </c>
      <c r="K187" s="3">
        <v>1618.17754497528</v>
      </c>
      <c r="L187" s="4">
        <v>0.122045434597754</v>
      </c>
      <c r="M187" s="4">
        <v>0.114487638284371</v>
      </c>
      <c r="N187" s="4">
        <v>0.142968534430544</v>
      </c>
      <c r="O187" s="4">
        <v>-0.0284808961461729</v>
      </c>
      <c r="P187" s="4">
        <v>0.005759364</v>
      </c>
      <c r="Q187" t="s">
        <v>142</v>
      </c>
      <c r="R187" s="3">
        <v>1618.17754497528</v>
      </c>
      <c r="S187" s="4">
        <v>0.122045434597754</v>
      </c>
      <c r="T187" s="4">
        <v>0.114487638284371</v>
      </c>
      <c r="U187" s="4">
        <v>0.142968534430544</v>
      </c>
      <c r="V187" s="4">
        <v>-0.0284808961461729</v>
      </c>
      <c r="W187" s="4">
        <v>0.005759364</v>
      </c>
    </row>
    <row r="188" spans="1:23" x14ac:dyDescent="0.25">
      <c r="A188">
        <v>13712</v>
      </c>
      <c r="B188" t="s">
        <v>145</v>
      </c>
      <c r="C188" t="s">
        <v>146</v>
      </c>
      <c r="D188">
        <v>5</v>
      </c>
      <c r="E188" s="1">
        <v>0.0178335535006605</v>
      </c>
      <c r="F188" s="1">
        <v>0.0192008142045368</v>
      </c>
      <c r="G188" s="1">
        <v>1</v>
      </c>
      <c r="H188" s="1">
        <v>0.6</v>
      </c>
      <c r="I188" s="1">
        <v>0.8</v>
      </c>
      <c r="J188" t="s">
        <v>142</v>
      </c>
      <c r="K188" s="3">
        <v>672.315910434723</v>
      </c>
      <c r="L188" s="4">
        <v>0.362302101132928</v>
      </c>
      <c r="M188" s="4">
        <v>0.292021482013479</v>
      </c>
      <c r="N188" s="4">
        <v>0.142968534430544</v>
      </c>
      <c r="O188" s="4">
        <v>0.149052947582935</v>
      </c>
      <c r="P188" s="4">
        <v>0.005759364</v>
      </c>
      <c r="Q188" t="s">
        <v>142</v>
      </c>
      <c r="R188" s="3">
        <v>672.315910434723</v>
      </c>
      <c r="S188" s="4">
        <v>0.362302101132928</v>
      </c>
      <c r="T188" s="4">
        <v>0.292021482013479</v>
      </c>
      <c r="U188" s="4">
        <v>0.142968534430544</v>
      </c>
      <c r="V188" s="4">
        <v>0.149052947582935</v>
      </c>
      <c r="W188" s="4">
        <v>0.005759364</v>
      </c>
    </row>
    <row r="189" spans="1:23" x14ac:dyDescent="0.25">
      <c r="A189">
        <v>23799</v>
      </c>
      <c r="B189" t="s">
        <v>147</v>
      </c>
      <c r="C189" t="s">
        <v>148</v>
      </c>
      <c r="D189">
        <v>5</v>
      </c>
      <c r="E189" s="1">
        <v>0.00407331975560081</v>
      </c>
      <c r="F189" s="1">
        <v>-0.00492519351221843</v>
      </c>
      <c r="G189" s="1">
        <v>1</v>
      </c>
      <c r="H189" s="1">
        <v>0.6</v>
      </c>
      <c r="I189" s="1">
        <v>0.8</v>
      </c>
      <c r="J189" t="s">
        <v>142</v>
      </c>
      <c r="K189" s="3">
        <v>362.21040561676</v>
      </c>
      <c r="L189" s="4">
        <v>0.0386764183046371</v>
      </c>
      <c r="M189" s="4">
        <v>0.193236684897835</v>
      </c>
      <c r="N189" s="4">
        <v>0.142968534430544</v>
      </c>
      <c r="O189" s="4">
        <v>0.0502681504672915</v>
      </c>
      <c r="P189" s="4">
        <v>0.005759364</v>
      </c>
      <c r="Q189" t="s">
        <v>142</v>
      </c>
      <c r="R189" s="3">
        <v>362.21040561676</v>
      </c>
      <c r="S189" s="4">
        <v>0.0386764183046371</v>
      </c>
      <c r="T189" s="4">
        <v>0.193236684897835</v>
      </c>
      <c r="U189" s="4">
        <v>0.142968534430544</v>
      </c>
      <c r="V189" s="4">
        <v>0.0502681504672915</v>
      </c>
      <c r="W189" s="4">
        <v>0.005759364</v>
      </c>
    </row>
    <row r="190" spans="1:23" x14ac:dyDescent="0.25">
      <c r="A190">
        <v>38093</v>
      </c>
      <c r="B190" t="s">
        <v>25</v>
      </c>
      <c r="C190" t="s">
        <v>26</v>
      </c>
      <c r="D190">
        <v>5</v>
      </c>
      <c r="E190" s="1">
        <v>0.0448421862971517</v>
      </c>
      <c r="F190" s="1">
        <v>0.0598764523405989</v>
      </c>
      <c r="G190" s="1">
        <v>0.8</v>
      </c>
      <c r="H190" s="1">
        <v>0.8</v>
      </c>
      <c r="I190" s="1">
        <v>0.8</v>
      </c>
      <c r="J190" t="s">
        <v>142</v>
      </c>
      <c r="K190" s="3">
        <v>10277.1765</v>
      </c>
      <c r="L190" s="4">
        <v>0.0375343075439509</v>
      </c>
      <c r="M190" s="4">
        <v>0.197599965773253</v>
      </c>
      <c r="N190" s="4">
        <v>0.142968534430544</v>
      </c>
      <c r="O190" s="4">
        <v>0.054631431342709</v>
      </c>
      <c r="P190" s="4">
        <v>0.005759364</v>
      </c>
      <c r="Q190" t="s">
        <v>142</v>
      </c>
      <c r="R190" s="3">
        <v>10277.1765</v>
      </c>
      <c r="S190" s="4">
        <v>0.0375343075439509</v>
      </c>
      <c r="T190" s="4">
        <v>0.197599965773253</v>
      </c>
      <c r="U190" s="4">
        <v>0.142968534430544</v>
      </c>
      <c r="V190" s="4">
        <v>0.054631431342709</v>
      </c>
      <c r="W190" s="4">
        <v>0.005759364</v>
      </c>
    </row>
    <row r="191" spans="1:23" x14ac:dyDescent="0.25">
      <c r="A191">
        <v>64390</v>
      </c>
      <c r="B191" t="s">
        <v>16</v>
      </c>
      <c r="C191" t="s">
        <v>17</v>
      </c>
      <c r="D191">
        <v>5</v>
      </c>
      <c r="E191" s="1">
        <v>0.0498591549295775</v>
      </c>
      <c r="F191" s="1">
        <v>0.103129214542111</v>
      </c>
      <c r="G191" s="1">
        <v>0.6</v>
      </c>
      <c r="H191" s="1">
        <v>1</v>
      </c>
      <c r="I191" s="1">
        <v>0.8</v>
      </c>
      <c r="J191" t="s">
        <v>142</v>
      </c>
      <c r="K191" s="3">
        <v>25616.2900886536</v>
      </c>
      <c r="L191" s="4">
        <v>0.124004627074144</v>
      </c>
      <c r="M191" s="4">
        <v>0.491934780123615</v>
      </c>
      <c r="N191" s="4">
        <v>0.142968534430544</v>
      </c>
      <c r="O191" s="4">
        <v>0.348966245693071</v>
      </c>
      <c r="P191" s="4">
        <v>0.005759364</v>
      </c>
      <c r="Q191" t="s">
        <v>142</v>
      </c>
      <c r="R191" s="3">
        <v>25616.2900886536</v>
      </c>
      <c r="S191" s="4">
        <v>0.124004627074144</v>
      </c>
      <c r="T191" s="4">
        <v>0.491934780123615</v>
      </c>
      <c r="U191" s="4">
        <v>0.142968534430544</v>
      </c>
      <c r="V191" s="4">
        <v>0.348966245693071</v>
      </c>
      <c r="W191" s="4">
        <v>0.005759364</v>
      </c>
    </row>
    <row r="192" spans="1:23" x14ac:dyDescent="0.25">
      <c r="A192">
        <v>71271</v>
      </c>
      <c r="B192" t="s">
        <v>93</v>
      </c>
      <c r="C192" t="s">
        <v>94</v>
      </c>
      <c r="D192">
        <v>5</v>
      </c>
      <c r="E192" s="1">
        <v>0.0486746036966388</v>
      </c>
      <c r="F192" s="1">
        <v>0.0439393860060315</v>
      </c>
      <c r="G192" s="1">
        <v>0.8</v>
      </c>
      <c r="H192" s="1">
        <v>0.8</v>
      </c>
      <c r="I192" s="1">
        <v>0.8</v>
      </c>
      <c r="J192" t="s">
        <v>142</v>
      </c>
      <c r="K192" s="3">
        <v>9171.22101177979</v>
      </c>
      <c r="L192" s="4">
        <v>0.217695141510509</v>
      </c>
      <c r="M192" s="4">
        <v>-0.0127595178758242</v>
      </c>
      <c r="N192" s="4">
        <v>0.142968534430544</v>
      </c>
      <c r="O192" s="4">
        <v>-0.155728052306368</v>
      </c>
      <c r="P192" s="4">
        <v>0.005759364</v>
      </c>
      <c r="Q192" t="s">
        <v>142</v>
      </c>
      <c r="R192" s="3">
        <v>9171.22101177979</v>
      </c>
      <c r="S192" s="4">
        <v>0.217695141510509</v>
      </c>
      <c r="T192" s="4">
        <v>-0.0127595178758242</v>
      </c>
      <c r="U192" s="4">
        <v>0.142968534430544</v>
      </c>
      <c r="V192" s="4">
        <v>-0.155728052306368</v>
      </c>
      <c r="W192" s="4">
        <v>0.005759364</v>
      </c>
    </row>
    <row r="193" spans="1:23" x14ac:dyDescent="0.25">
      <c r="A193">
        <v>76136</v>
      </c>
      <c r="B193" t="s">
        <v>59</v>
      </c>
      <c r="C193" t="s">
        <v>60</v>
      </c>
      <c r="D193">
        <v>5</v>
      </c>
      <c r="E193" s="1">
        <v>0.00564334085778781</v>
      </c>
      <c r="F193" s="1">
        <v>0.0166118612381149</v>
      </c>
      <c r="G193" s="1">
        <v>1</v>
      </c>
      <c r="H193" s="1">
        <v>0.6</v>
      </c>
      <c r="I193" s="1">
        <v>0.8</v>
      </c>
      <c r="J193" t="s">
        <v>142</v>
      </c>
      <c r="K193" s="3">
        <v>1979.90972173309</v>
      </c>
      <c r="L193" s="4">
        <v>0.0829528813851322</v>
      </c>
      <c r="M193" s="4">
        <v>1.06249652274956</v>
      </c>
      <c r="N193" s="4">
        <v>0.142968534430544</v>
      </c>
      <c r="O193" s="4">
        <v>0.919527988319016</v>
      </c>
      <c r="P193" s="4">
        <v>0.005759364</v>
      </c>
      <c r="Q193" t="s">
        <v>142</v>
      </c>
      <c r="R193" s="3">
        <v>1979.90972173309</v>
      </c>
      <c r="S193" s="4">
        <v>0.0829528813851322</v>
      </c>
      <c r="T193" s="4">
        <v>1.06249652274956</v>
      </c>
      <c r="U193" s="4">
        <v>0.142968534430544</v>
      </c>
      <c r="V193" s="4">
        <v>0.919527988319016</v>
      </c>
      <c r="W193" s="4">
        <v>0.005759364</v>
      </c>
    </row>
    <row r="194" spans="1:23" x14ac:dyDescent="0.25">
      <c r="A194">
        <v>79323</v>
      </c>
      <c r="B194" t="s">
        <v>45</v>
      </c>
      <c r="C194" t="s">
        <v>46</v>
      </c>
      <c r="D194">
        <v>5</v>
      </c>
      <c r="E194" s="1">
        <v>0.0636805180787911</v>
      </c>
      <c r="F194" s="1">
        <v>0.266278675546169</v>
      </c>
      <c r="G194" s="1">
        <v>0.6</v>
      </c>
      <c r="H194" s="1">
        <v>1</v>
      </c>
      <c r="I194" s="1">
        <v>0.8</v>
      </c>
      <c r="J194" t="s">
        <v>142</v>
      </c>
      <c r="K194" s="3">
        <v>32237.9728099365</v>
      </c>
      <c r="L194" s="4">
        <v>0.0227028251146464</v>
      </c>
      <c r="M194" s="4">
        <v>0.106339233813978</v>
      </c>
      <c r="N194" s="4">
        <v>0.142968534430544</v>
      </c>
      <c r="O194" s="4">
        <v>-0.0366293006165663</v>
      </c>
      <c r="P194" s="4">
        <v>0.005759364</v>
      </c>
      <c r="Q194" t="s">
        <v>142</v>
      </c>
      <c r="R194" s="3">
        <v>32237.9728099365</v>
      </c>
      <c r="S194" s="4">
        <v>0.0227028251146464</v>
      </c>
      <c r="T194" s="4">
        <v>0.106339233813978</v>
      </c>
      <c r="U194" s="4">
        <v>0.142968534430544</v>
      </c>
      <c r="V194" s="4">
        <v>-0.0366293006165663</v>
      </c>
      <c r="W194" s="4">
        <v>0.005759364</v>
      </c>
    </row>
    <row r="195" spans="1:23" x14ac:dyDescent="0.25">
      <c r="A195">
        <v>88845</v>
      </c>
      <c r="B195" t="s">
        <v>53</v>
      </c>
      <c r="C195" t="s">
        <v>54</v>
      </c>
      <c r="D195">
        <v>5</v>
      </c>
      <c r="E195" s="1">
        <v>0.0520925731795823</v>
      </c>
      <c r="F195" s="1">
        <v>0.153782011460872</v>
      </c>
      <c r="G195" s="1">
        <v>0.6</v>
      </c>
      <c r="H195" s="1">
        <v>1</v>
      </c>
      <c r="I195" s="1">
        <v>0.8</v>
      </c>
      <c r="J195" t="s">
        <v>142</v>
      </c>
      <c r="K195" s="3">
        <v>50362.0116073608</v>
      </c>
      <c r="L195" s="4">
        <v>0.0486178103139959</v>
      </c>
      <c r="M195" s="4">
        <v>0.230090053593371</v>
      </c>
      <c r="N195" s="4">
        <v>0.142968534430544</v>
      </c>
      <c r="O195" s="4">
        <v>0.0871215191628267</v>
      </c>
      <c r="P195" s="4">
        <v>0.005759364</v>
      </c>
      <c r="Q195" t="s">
        <v>142</v>
      </c>
      <c r="R195" s="3">
        <v>50362.0116073608</v>
      </c>
      <c r="S195" s="4">
        <v>0.0486178103139959</v>
      </c>
      <c r="T195" s="4">
        <v>0.230090053593371</v>
      </c>
      <c r="U195" s="4">
        <v>0.142968534430544</v>
      </c>
      <c r="V195" s="4">
        <v>0.0871215191628267</v>
      </c>
      <c r="W195" s="4">
        <v>0.005759364</v>
      </c>
    </row>
    <row r="196" spans="1:23" x14ac:dyDescent="0.25">
      <c r="A196">
        <v>89179</v>
      </c>
      <c r="B196" t="s">
        <v>118</v>
      </c>
      <c r="C196" t="s">
        <v>119</v>
      </c>
      <c r="D196">
        <v>5</v>
      </c>
      <c r="E196" s="1">
        <v>0.065312652152744</v>
      </c>
      <c r="F196" s="1">
        <v>0.14389037159129</v>
      </c>
      <c r="G196" s="1">
        <v>0.6</v>
      </c>
      <c r="H196" s="1">
        <v>1</v>
      </c>
      <c r="I196" s="1">
        <v>0.8</v>
      </c>
      <c r="J196" t="s">
        <v>142</v>
      </c>
      <c r="K196" s="3">
        <v>49851.817473877</v>
      </c>
      <c r="L196" s="4">
        <v>0.0720913633119201</v>
      </c>
      <c r="M196" s="4">
        <v>0.23093781288831</v>
      </c>
      <c r="N196" s="4">
        <v>0.142968534430544</v>
      </c>
      <c r="O196" s="4">
        <v>0.0879692784577657</v>
      </c>
      <c r="P196" s="4">
        <v>0.005759364</v>
      </c>
      <c r="Q196" t="s">
        <v>142</v>
      </c>
      <c r="R196" s="3">
        <v>49851.817473877</v>
      </c>
      <c r="S196" s="4">
        <v>0.0720913633119201</v>
      </c>
      <c r="T196" s="4">
        <v>0.23093781288831</v>
      </c>
      <c r="U196" s="4">
        <v>0.142968534430544</v>
      </c>
      <c r="V196" s="4">
        <v>0.0879692784577657</v>
      </c>
      <c r="W196" s="4">
        <v>0.005759364</v>
      </c>
    </row>
    <row r="197" spans="1:23" x14ac:dyDescent="0.25">
      <c r="A197">
        <v>10933</v>
      </c>
      <c r="B197" t="s">
        <v>57</v>
      </c>
      <c r="C197" t="s">
        <v>58</v>
      </c>
      <c r="D197">
        <v>5</v>
      </c>
      <c r="E197" s="1">
        <v>0.034726368159204</v>
      </c>
      <c r="F197" s="1">
        <v>-0.0455400824245227</v>
      </c>
      <c r="G197" s="1">
        <v>1</v>
      </c>
      <c r="H197" s="1">
        <v>0.4</v>
      </c>
      <c r="I197" s="1">
        <v>0.7</v>
      </c>
      <c r="J197" t="s">
        <v>142</v>
      </c>
      <c r="K197" s="3">
        <v>13607.3916357422</v>
      </c>
      <c r="L197" s="4">
        <v>0.0437464212526617</v>
      </c>
      <c r="M197" s="4">
        <v>0.122619555668877</v>
      </c>
      <c r="N197" s="4">
        <v>0.142968534430544</v>
      </c>
      <c r="O197" s="4">
        <v>-0.0203489787616675</v>
      </c>
      <c r="P197" s="4">
        <v>0.005759364</v>
      </c>
      <c r="Q197" t="s">
        <v>142</v>
      </c>
      <c r="R197" s="3">
        <v>13607.3916357422</v>
      </c>
      <c r="S197" s="4">
        <v>0.0437464212526617</v>
      </c>
      <c r="T197" s="4">
        <v>0.122619555668877</v>
      </c>
      <c r="U197" s="4">
        <v>0.142968534430544</v>
      </c>
      <c r="V197" s="4">
        <v>-0.0203489787616675</v>
      </c>
      <c r="W197" s="4">
        <v>0.005759364</v>
      </c>
    </row>
    <row r="198" spans="1:23" x14ac:dyDescent="0.25">
      <c r="A198">
        <v>31238</v>
      </c>
      <c r="B198" t="s">
        <v>149</v>
      </c>
      <c r="C198" t="s">
        <v>150</v>
      </c>
      <c r="D198">
        <v>5</v>
      </c>
      <c r="E198" s="1">
        <v>0.0733088970343219</v>
      </c>
      <c r="F198" s="1">
        <v>0.148658111550988</v>
      </c>
      <c r="G198" s="1">
        <v>0.4</v>
      </c>
      <c r="H198" s="1">
        <v>1</v>
      </c>
      <c r="I198" s="1">
        <v>0.7</v>
      </c>
      <c r="J198" t="s">
        <v>142</v>
      </c>
      <c r="K198" s="3">
        <v>592.464074644089</v>
      </c>
      <c r="L198" s="4">
        <v>0.0350000321115942</v>
      </c>
      <c r="M198" s="4">
        <v>-0.012290041560674</v>
      </c>
      <c r="N198" s="4">
        <v>0.142968534430544</v>
      </c>
      <c r="O198" s="4">
        <v>-0.155258575991218</v>
      </c>
      <c r="P198" s="4">
        <v>0.005759364</v>
      </c>
      <c r="Q198" t="s">
        <v>142</v>
      </c>
      <c r="R198" s="3">
        <v>592.464074644089</v>
      </c>
      <c r="S198" s="4">
        <v>0.0350000321115942</v>
      </c>
      <c r="T198" s="4">
        <v>-0.012290041560674</v>
      </c>
      <c r="U198" s="4">
        <v>0.142968534430544</v>
      </c>
      <c r="V198" s="4">
        <v>-0.155258575991218</v>
      </c>
      <c r="W198" s="4">
        <v>0.005759364</v>
      </c>
    </row>
    <row r="199" spans="1:23" x14ac:dyDescent="0.25">
      <c r="A199">
        <v>68292</v>
      </c>
      <c r="B199" t="s">
        <v>132</v>
      </c>
      <c r="C199" t="s">
        <v>133</v>
      </c>
      <c r="D199">
        <v>5</v>
      </c>
      <c r="E199" s="1">
        <v>0.0636469221835076</v>
      </c>
      <c r="F199" s="1">
        <v>0.0411767001402313</v>
      </c>
      <c r="G199" s="1">
        <v>0.6</v>
      </c>
      <c r="H199" s="1">
        <v>0.8</v>
      </c>
      <c r="I199" s="1">
        <v>0.7</v>
      </c>
      <c r="J199" t="s">
        <v>142</v>
      </c>
      <c r="K199" s="3">
        <v>2921.06810547256</v>
      </c>
      <c r="L199" s="4">
        <v>0.0690936392497312</v>
      </c>
      <c r="M199" s="4">
        <v>0.126438194058888</v>
      </c>
      <c r="N199" s="4">
        <v>0.142968534430544</v>
      </c>
      <c r="O199" s="4">
        <v>-0.0165303403716566</v>
      </c>
      <c r="P199" s="4">
        <v>0.005759364</v>
      </c>
      <c r="Q199" t="s">
        <v>142</v>
      </c>
      <c r="R199" s="3">
        <v>2921.06810547256</v>
      </c>
      <c r="S199" s="4">
        <v>0.0690936392497312</v>
      </c>
      <c r="T199" s="4">
        <v>0.126438194058888</v>
      </c>
      <c r="U199" s="4">
        <v>0.142968534430544</v>
      </c>
      <c r="V199" s="4">
        <v>-0.0165303403716566</v>
      </c>
      <c r="W199" s="4">
        <v>0.005759364</v>
      </c>
    </row>
    <row r="200" spans="1:23" x14ac:dyDescent="0.25">
      <c r="A200">
        <v>72980</v>
      </c>
      <c r="B200" t="s">
        <v>151</v>
      </c>
      <c r="C200" t="s">
        <v>152</v>
      </c>
      <c r="D200">
        <v>5</v>
      </c>
      <c r="E200" s="1">
        <v>0.0403645833333333</v>
      </c>
      <c r="F200" s="1">
        <v>-0.00148189292257489</v>
      </c>
      <c r="G200" s="1">
        <v>0.8</v>
      </c>
      <c r="H200" s="1">
        <v>0.6</v>
      </c>
      <c r="I200" s="1">
        <v>0.7</v>
      </c>
      <c r="J200" t="s">
        <v>142</v>
      </c>
      <c r="K200" s="3">
        <v>1075.95982532501</v>
      </c>
      <c r="L200" s="4">
        <v>-0.0123585596510154</v>
      </c>
      <c r="M200" s="4">
        <v>-0.0405781765803482</v>
      </c>
      <c r="N200" s="4">
        <v>0.142968534430544</v>
      </c>
      <c r="O200" s="4">
        <v>-0.183546711010892</v>
      </c>
      <c r="P200" s="4">
        <v>0.005759364</v>
      </c>
      <c r="Q200" t="s">
        <v>142</v>
      </c>
      <c r="R200" s="3">
        <v>1075.95982532501</v>
      </c>
      <c r="S200" s="4">
        <v>-0.0123585596510154</v>
      </c>
      <c r="T200" s="4">
        <v>-0.0405781765803482</v>
      </c>
      <c r="U200" s="4">
        <v>0.142968534430544</v>
      </c>
      <c r="V200" s="4">
        <v>-0.183546711010892</v>
      </c>
      <c r="W200" s="4">
        <v>0.005759364</v>
      </c>
    </row>
    <row r="201" spans="1:23" x14ac:dyDescent="0.25">
      <c r="A201">
        <v>78693</v>
      </c>
      <c r="B201" t="s">
        <v>153</v>
      </c>
      <c r="C201" t="s">
        <v>154</v>
      </c>
      <c r="D201">
        <v>5</v>
      </c>
      <c r="E201" s="1">
        <v>0.0400650803335367</v>
      </c>
      <c r="F201" s="1">
        <v>0.0231518982154919</v>
      </c>
      <c r="G201" s="1">
        <v>0.8</v>
      </c>
      <c r="H201" s="1">
        <v>0.6</v>
      </c>
      <c r="I201" s="1">
        <v>0.7</v>
      </c>
      <c r="J201" t="s">
        <v>142</v>
      </c>
      <c r="K201" s="3">
        <v>1102.73371437073</v>
      </c>
      <c r="L201" s="4">
        <v>0.0985865546835595</v>
      </c>
      <c r="M201" s="4">
        <v>0.270407915255889</v>
      </c>
      <c r="N201" s="4">
        <v>0.142968534430544</v>
      </c>
      <c r="O201" s="4">
        <v>0.127439380825345</v>
      </c>
      <c r="P201" s="4">
        <v>0.005759364</v>
      </c>
      <c r="Q201" t="s">
        <v>142</v>
      </c>
      <c r="R201" s="3">
        <v>1102.73371437073</v>
      </c>
      <c r="S201" s="4">
        <v>0.0985865546835595</v>
      </c>
      <c r="T201" s="4">
        <v>0.270407915255889</v>
      </c>
      <c r="U201" s="4">
        <v>0.142968534430544</v>
      </c>
      <c r="V201" s="4">
        <v>0.127439380825345</v>
      </c>
      <c r="W201" s="4">
        <v>0.005759364</v>
      </c>
    </row>
    <row r="202" spans="1:23" x14ac:dyDescent="0.25">
      <c r="A202">
        <v>82292</v>
      </c>
      <c r="B202" t="s">
        <v>19</v>
      </c>
      <c r="C202" t="s">
        <v>20</v>
      </c>
      <c r="D202">
        <v>5</v>
      </c>
      <c r="E202" s="1">
        <v>0.0401054829139655</v>
      </c>
      <c r="F202" s="1">
        <v>0.0192231498199359</v>
      </c>
      <c r="G202" s="1">
        <v>0.8</v>
      </c>
      <c r="H202" s="1">
        <v>0.6</v>
      </c>
      <c r="I202" s="1">
        <v>0.7</v>
      </c>
      <c r="J202" t="s">
        <v>142</v>
      </c>
      <c r="K202" s="3">
        <v>3770.23145316315</v>
      </c>
      <c r="L202" s="4">
        <v>-0.0175208581644815</v>
      </c>
      <c r="M202" s="4">
        <v>0.483743469328136</v>
      </c>
      <c r="N202" s="4">
        <v>0.142968534430544</v>
      </c>
      <c r="O202" s="4">
        <v>0.340774934897591</v>
      </c>
      <c r="P202" s="4">
        <v>0.005759364</v>
      </c>
      <c r="Q202" t="s">
        <v>142</v>
      </c>
      <c r="R202" s="3">
        <v>3770.23145316315</v>
      </c>
      <c r="S202" s="4">
        <v>-0.0175208581644815</v>
      </c>
      <c r="T202" s="4">
        <v>0.483743469328136</v>
      </c>
      <c r="U202" s="4">
        <v>0.142968534430544</v>
      </c>
      <c r="V202" s="4">
        <v>0.340774934897591</v>
      </c>
      <c r="W202" s="4">
        <v>0.005759364</v>
      </c>
    </row>
    <row r="203" spans="1:23" x14ac:dyDescent="0.25">
      <c r="A203">
        <v>87212</v>
      </c>
      <c r="B203" t="s">
        <v>49</v>
      </c>
      <c r="C203" t="s">
        <v>50</v>
      </c>
      <c r="D203">
        <v>5</v>
      </c>
      <c r="E203" s="1">
        <v>0.0593893768297783</v>
      </c>
      <c r="F203" s="1">
        <v>0.0680483276071138</v>
      </c>
      <c r="G203" s="1">
        <v>0.6</v>
      </c>
      <c r="H203" s="1">
        <v>0.8</v>
      </c>
      <c r="I203" s="1">
        <v>0.7</v>
      </c>
      <c r="J203" t="s">
        <v>142</v>
      </c>
      <c r="K203" s="3">
        <v>37083.6803724403</v>
      </c>
      <c r="L203" s="4">
        <v>0.567545329879628</v>
      </c>
      <c r="M203" s="4">
        <v>0.130732372025884</v>
      </c>
      <c r="N203" s="4">
        <v>0.142968534430544</v>
      </c>
      <c r="O203" s="4">
        <v>-0.0122361624046596</v>
      </c>
      <c r="P203" s="4">
        <v>0.005759364</v>
      </c>
      <c r="Q203" t="s">
        <v>142</v>
      </c>
      <c r="R203" s="3">
        <v>37083.6803724403</v>
      </c>
      <c r="S203" s="4">
        <v>0.567545329879628</v>
      </c>
      <c r="T203" s="4">
        <v>0.130732372025884</v>
      </c>
      <c r="U203" s="4">
        <v>0.142968534430544</v>
      </c>
      <c r="V203" s="4">
        <v>-0.0122361624046596</v>
      </c>
      <c r="W203" s="4">
        <v>0.005759364</v>
      </c>
    </row>
    <row r="204" spans="1:23" x14ac:dyDescent="0.25">
      <c r="A204">
        <v>89681</v>
      </c>
      <c r="B204" t="s">
        <v>155</v>
      </c>
      <c r="C204" t="s">
        <v>156</v>
      </c>
      <c r="D204">
        <v>5</v>
      </c>
      <c r="E204" s="1">
        <v>0.0444823663253697</v>
      </c>
      <c r="F204" s="1">
        <v>-0.00180363270511191</v>
      </c>
      <c r="G204" s="1">
        <v>0.8</v>
      </c>
      <c r="H204" s="1">
        <v>0.6</v>
      </c>
      <c r="I204" s="1">
        <v>0.7</v>
      </c>
      <c r="J204" t="s">
        <v>142</v>
      </c>
      <c r="K204" s="3">
        <v>1038.042</v>
      </c>
      <c r="L204" s="4">
        <v>0.0368421974728309</v>
      </c>
      <c r="M204" s="4">
        <v>0.545820677468473</v>
      </c>
      <c r="N204" s="4">
        <v>0.142968534430544</v>
      </c>
      <c r="O204" s="4">
        <v>0.402852143037929</v>
      </c>
      <c r="P204" s="4">
        <v>0.005759364</v>
      </c>
      <c r="Q204" t="s">
        <v>142</v>
      </c>
      <c r="R204" s="3">
        <v>1038.042</v>
      </c>
      <c r="S204" s="4">
        <v>0.0368421974728309</v>
      </c>
      <c r="T204" s="4">
        <v>0.545820677468473</v>
      </c>
      <c r="U204" s="4">
        <v>0.142968534430544</v>
      </c>
      <c r="V204" s="4">
        <v>0.402852143037929</v>
      </c>
      <c r="W204" s="4">
        <v>0.005759364</v>
      </c>
    </row>
    <row r="205" spans="1:23" x14ac:dyDescent="0.25">
      <c r="A205">
        <v>89781</v>
      </c>
      <c r="B205" t="s">
        <v>128</v>
      </c>
      <c r="C205" t="s">
        <v>129</v>
      </c>
      <c r="D205">
        <v>5</v>
      </c>
      <c r="E205" s="1">
        <v>0.0171396977515665</v>
      </c>
      <c r="F205" s="1">
        <v>-0.0505966187315043</v>
      </c>
      <c r="G205" s="1">
        <v>1</v>
      </c>
      <c r="H205" s="1">
        <v>0.4</v>
      </c>
      <c r="I205" s="1">
        <v>0.7</v>
      </c>
      <c r="J205" t="s">
        <v>142</v>
      </c>
      <c r="K205" s="3">
        <v>3943.53673739624</v>
      </c>
      <c r="L205" s="4">
        <v>0.254196642685851</v>
      </c>
      <c r="M205" s="4">
        <v>0.315316713926585</v>
      </c>
      <c r="N205" s="4">
        <v>0.142968534430544</v>
      </c>
      <c r="O205" s="4">
        <v>0.172348179496041</v>
      </c>
      <c r="P205" s="4">
        <v>0.005759364</v>
      </c>
      <c r="Q205" t="s">
        <v>142</v>
      </c>
      <c r="R205" s="3">
        <v>3943.53673739624</v>
      </c>
      <c r="S205" s="4">
        <v>0.254196642685851</v>
      </c>
      <c r="T205" s="4">
        <v>0.315316713926585</v>
      </c>
      <c r="U205" s="4">
        <v>0.142968534430544</v>
      </c>
      <c r="V205" s="4">
        <v>0.172348179496041</v>
      </c>
      <c r="W205" s="4">
        <v>0.005759364</v>
      </c>
    </row>
    <row r="206" spans="1:23" x14ac:dyDescent="0.25">
      <c r="A206">
        <v>92506</v>
      </c>
      <c r="B206" t="s">
        <v>157</v>
      </c>
      <c r="C206" t="s">
        <v>158</v>
      </c>
      <c r="D206">
        <v>5</v>
      </c>
      <c r="E206" s="1">
        <v>0.0342995169082126</v>
      </c>
      <c r="F206" s="1">
        <v>-0.0220216645951827</v>
      </c>
      <c r="G206" s="1">
        <v>1</v>
      </c>
      <c r="H206" s="1">
        <v>0.4</v>
      </c>
      <c r="I206" s="1">
        <v>0.7</v>
      </c>
      <c r="J206" t="s">
        <v>142</v>
      </c>
      <c r="K206" s="3">
        <v>397.249716415405</v>
      </c>
      <c r="L206" s="4">
        <v>0.028273325579729</v>
      </c>
      <c r="M206" s="4">
        <v>1.25261220137044</v>
      </c>
      <c r="N206" s="4">
        <v>0.142968534430544</v>
      </c>
      <c r="O206" s="4">
        <v>1.1096436669399</v>
      </c>
      <c r="P206" s="4">
        <v>0.005759364</v>
      </c>
      <c r="Q206" t="s">
        <v>142</v>
      </c>
      <c r="R206" s="3">
        <v>397.249716415405</v>
      </c>
      <c r="S206" s="4">
        <v>0.028273325579729</v>
      </c>
      <c r="T206" s="4">
        <v>1.25261220137044</v>
      </c>
      <c r="U206" s="4">
        <v>0.142968534430544</v>
      </c>
      <c r="V206" s="4">
        <v>1.1096436669399</v>
      </c>
      <c r="W206" s="4">
        <v>0.005759364</v>
      </c>
    </row>
    <row r="207" spans="1:23" x14ac:dyDescent="0.25">
      <c r="A207">
        <v>78038</v>
      </c>
      <c r="B207" t="s">
        <v>109</v>
      </c>
      <c r="C207" t="s">
        <v>110</v>
      </c>
      <c r="D207">
        <v>5</v>
      </c>
      <c r="E207" s="1">
        <v>0.0812013348164627</v>
      </c>
      <c r="F207" s="1">
        <v>0.0756080552277005</v>
      </c>
      <c r="G207" s="1">
        <v>0.4</v>
      </c>
      <c r="H207" s="1">
        <v>0.8</v>
      </c>
      <c r="I207" s="1">
        <v>0.6</v>
      </c>
      <c r="J207" t="s">
        <v>142</v>
      </c>
      <c r="K207" s="3">
        <v>3516.80333205223</v>
      </c>
      <c r="L207" s="4">
        <v>0.0378788069252707</v>
      </c>
      <c r="M207" s="4">
        <v>-0.0094240005565267</v>
      </c>
      <c r="N207" s="4">
        <v>0.142968534430544</v>
      </c>
      <c r="O207" s="4">
        <v>-0.152392534987071</v>
      </c>
      <c r="P207" s="4">
        <v>0.005759364</v>
      </c>
      <c r="Q207" t="s">
        <v>142</v>
      </c>
      <c r="R207" s="3">
        <v>3516.80333205223</v>
      </c>
      <c r="S207" s="4">
        <v>0.0378788069252707</v>
      </c>
      <c r="T207" s="4">
        <v>-0.0094240005565267</v>
      </c>
      <c r="U207" s="4">
        <v>0.142968534430544</v>
      </c>
      <c r="V207" s="4">
        <v>-0.152392534987071</v>
      </c>
      <c r="W207" s="4">
        <v>0.005759364</v>
      </c>
    </row>
    <row r="208" spans="1:23" x14ac:dyDescent="0.25">
      <c r="A208">
        <v>87666</v>
      </c>
      <c r="B208" t="s">
        <v>35</v>
      </c>
      <c r="C208" t="s">
        <v>36</v>
      </c>
      <c r="D208">
        <v>5</v>
      </c>
      <c r="E208" s="1">
        <v>0.078564500484966</v>
      </c>
      <c r="F208" s="1">
        <v>0.0475293449363526</v>
      </c>
      <c r="G208" s="1">
        <v>0.4</v>
      </c>
      <c r="H208" s="1">
        <v>0.8</v>
      </c>
      <c r="I208" s="1">
        <v>0.6</v>
      </c>
      <c r="J208" t="s">
        <v>142</v>
      </c>
      <c r="K208" s="3">
        <v>21939.02425</v>
      </c>
      <c r="L208" s="4">
        <v>0.61167809938096</v>
      </c>
      <c r="M208" s="4">
        <v>0.307996624988063</v>
      </c>
      <c r="N208" s="4">
        <v>0.142968534430544</v>
      </c>
      <c r="O208" s="4">
        <v>0.165028090557518</v>
      </c>
      <c r="P208" s="4">
        <v>0.005759364</v>
      </c>
      <c r="Q208" t="s">
        <v>142</v>
      </c>
      <c r="R208" s="3">
        <v>21939.02425</v>
      </c>
      <c r="S208" s="4">
        <v>0.61167809938096</v>
      </c>
      <c r="T208" s="4">
        <v>0.307996624988063</v>
      </c>
      <c r="U208" s="4">
        <v>0.142968534430544</v>
      </c>
      <c r="V208" s="4">
        <v>0.165028090557518</v>
      </c>
      <c r="W208" s="4">
        <v>0.005759364</v>
      </c>
    </row>
    <row r="209" spans="1:23" x14ac:dyDescent="0.25">
      <c r="A209">
        <v>93330</v>
      </c>
      <c r="B209" t="s">
        <v>138</v>
      </c>
      <c r="C209" t="s">
        <v>139</v>
      </c>
      <c r="D209">
        <v>5</v>
      </c>
      <c r="E209" s="1">
        <v>0.0663774403470716</v>
      </c>
      <c r="F209" s="1">
        <v>0.0736532561944283</v>
      </c>
      <c r="G209" s="1">
        <v>0.4</v>
      </c>
      <c r="H209" s="1">
        <v>0.8</v>
      </c>
      <c r="I209" s="1">
        <v>0.6</v>
      </c>
      <c r="J209" t="s">
        <v>142</v>
      </c>
      <c r="K209" s="3">
        <v>3446.7765</v>
      </c>
      <c r="L209" s="4">
        <v>0.0809569960877071</v>
      </c>
      <c r="M209" s="4">
        <v>0.375369675933623</v>
      </c>
      <c r="N209" s="4">
        <v>0.142968534430544</v>
      </c>
      <c r="O209" s="4">
        <v>0.232401141503079</v>
      </c>
      <c r="P209" s="4">
        <v>0.005759364</v>
      </c>
      <c r="Q209" t="s">
        <v>142</v>
      </c>
      <c r="R209" s="3">
        <v>3446.7765</v>
      </c>
      <c r="S209" s="4">
        <v>0.0809569960877071</v>
      </c>
      <c r="T209" s="4">
        <v>0.375369675933623</v>
      </c>
      <c r="U209" s="4">
        <v>0.142968534430544</v>
      </c>
      <c r="V209" s="4">
        <v>0.232401141503079</v>
      </c>
      <c r="W209" s="4">
        <v>0.005759364</v>
      </c>
    </row>
    <row r="210" spans="1:23" x14ac:dyDescent="0.25">
      <c r="A210">
        <v>13400</v>
      </c>
      <c r="B210" t="s">
        <v>122</v>
      </c>
      <c r="C210" t="s">
        <v>123</v>
      </c>
      <c r="D210">
        <v>5</v>
      </c>
      <c r="E210" s="1">
        <v>0.00606896551724138</v>
      </c>
      <c r="F210" s="1">
        <v>-0.171508004819133</v>
      </c>
      <c r="G210" s="1">
        <v>1</v>
      </c>
      <c r="H210" s="1">
        <v>0.2</v>
      </c>
      <c r="I210" s="1">
        <v>0.6</v>
      </c>
      <c r="J210" t="s">
        <v>142</v>
      </c>
      <c r="K210" s="3">
        <v>2657.15507933044</v>
      </c>
      <c r="L210" s="4">
        <v>0.063547661493916</v>
      </c>
      <c r="M210" s="4">
        <v>-0.329328614687778</v>
      </c>
      <c r="N210" s="4">
        <v>0.142968534430544</v>
      </c>
      <c r="O210" s="4">
        <v>-0.472297149118322</v>
      </c>
      <c r="P210" s="4">
        <v>0.005759364</v>
      </c>
      <c r="Q210" t="s">
        <v>142</v>
      </c>
      <c r="R210" s="3">
        <v>2657.15507933044</v>
      </c>
      <c r="S210" s="4">
        <v>0.063547661493916</v>
      </c>
      <c r="T210" s="4">
        <v>-0.329328614687778</v>
      </c>
      <c r="U210" s="4">
        <v>0.142968534430544</v>
      </c>
      <c r="V210" s="4">
        <v>-0.472297149118322</v>
      </c>
      <c r="W210" s="4">
        <v>0.005759364</v>
      </c>
    </row>
    <row r="211" spans="1:23" x14ac:dyDescent="0.25">
      <c r="A211">
        <v>87842</v>
      </c>
      <c r="B211" t="s">
        <v>51</v>
      </c>
      <c r="C211" t="s">
        <v>52</v>
      </c>
      <c r="D211">
        <v>5</v>
      </c>
      <c r="E211" s="1">
        <v>0.0116904806086472</v>
      </c>
      <c r="F211" s="1">
        <v>-0.117470410594562</v>
      </c>
      <c r="G211" s="1">
        <v>1</v>
      </c>
      <c r="H211" s="1">
        <v>0.2</v>
      </c>
      <c r="I211" s="1">
        <v>0.6</v>
      </c>
      <c r="J211" t="s">
        <v>142</v>
      </c>
      <c r="K211" s="3">
        <v>59111.7575424309</v>
      </c>
      <c r="L211" s="4">
        <v>-0.0972033474000429</v>
      </c>
      <c r="M211" s="4">
        <v>0.0479570126100677</v>
      </c>
      <c r="N211" s="4">
        <v>0.142968534430544</v>
      </c>
      <c r="O211" s="4">
        <v>-0.0950115218204763</v>
      </c>
      <c r="P211" s="4">
        <v>0.005759364</v>
      </c>
      <c r="Q211" t="s">
        <v>142</v>
      </c>
      <c r="R211" s="3">
        <v>59111.7575424309</v>
      </c>
      <c r="S211" s="4">
        <v>-0.0972033474000429</v>
      </c>
      <c r="T211" s="4">
        <v>0.0479570126100677</v>
      </c>
      <c r="U211" s="4">
        <v>0.142968534430544</v>
      </c>
      <c r="V211" s="4">
        <v>-0.0950115218204763</v>
      </c>
      <c r="W211" s="4">
        <v>0.005759364</v>
      </c>
    </row>
    <row r="212" spans="1:23" x14ac:dyDescent="0.25">
      <c r="A212">
        <v>89269</v>
      </c>
      <c r="B212" t="s">
        <v>103</v>
      </c>
      <c r="C212" t="s">
        <v>104</v>
      </c>
      <c r="D212">
        <v>5</v>
      </c>
      <c r="E212" s="1">
        <v>0.0619359405414971</v>
      </c>
      <c r="F212" s="1">
        <v>-0.0146585173097332</v>
      </c>
      <c r="G212" s="1">
        <v>0.6</v>
      </c>
      <c r="H212" s="1">
        <v>0.6</v>
      </c>
      <c r="I212" s="1">
        <v>0.6</v>
      </c>
      <c r="J212" t="s">
        <v>142</v>
      </c>
      <c r="K212" s="3">
        <v>13761.5661668243</v>
      </c>
      <c r="L212" s="4">
        <v>0.775571177504394</v>
      </c>
      <c r="M212" s="4">
        <v>0.613107637674494</v>
      </c>
      <c r="N212" s="4">
        <v>0.142968534430544</v>
      </c>
      <c r="O212" s="4">
        <v>0.47013910324395</v>
      </c>
      <c r="P212" s="4">
        <v>0.005759364</v>
      </c>
      <c r="Q212" t="s">
        <v>142</v>
      </c>
      <c r="R212" s="3">
        <v>13761.5661668243</v>
      </c>
      <c r="S212" s="4">
        <v>0.775571177504394</v>
      </c>
      <c r="T212" s="4">
        <v>0.613107637674494</v>
      </c>
      <c r="U212" s="4">
        <v>0.142968534430544</v>
      </c>
      <c r="V212" s="4">
        <v>0.47013910324395</v>
      </c>
      <c r="W212" s="4">
        <v>0.005759364</v>
      </c>
    </row>
    <row r="213" spans="1:23" x14ac:dyDescent="0.25">
      <c r="A213">
        <v>89841</v>
      </c>
      <c r="B213" t="s">
        <v>126</v>
      </c>
      <c r="C213" t="s">
        <v>127</v>
      </c>
      <c r="D213">
        <v>5</v>
      </c>
      <c r="E213" s="1">
        <v>0.106005221932115</v>
      </c>
      <c r="F213" s="1">
        <v>0.0831458290170959</v>
      </c>
      <c r="G213" s="1">
        <v>0.2</v>
      </c>
      <c r="H213" s="1">
        <v>1</v>
      </c>
      <c r="I213" s="1">
        <v>0.6</v>
      </c>
      <c r="J213" t="s">
        <v>142</v>
      </c>
      <c r="K213" s="3">
        <v>3576.99441622925</v>
      </c>
      <c r="L213" s="4">
        <v>0.045436658884021</v>
      </c>
      <c r="M213" s="4">
        <v>-0.00724588955613814</v>
      </c>
      <c r="N213" s="4">
        <v>0.142968534430544</v>
      </c>
      <c r="O213" s="4">
        <v>-0.150214423986682</v>
      </c>
      <c r="P213" s="4">
        <v>0.005759364</v>
      </c>
      <c r="Q213" t="s">
        <v>142</v>
      </c>
      <c r="R213" s="3">
        <v>3576.99441622925</v>
      </c>
      <c r="S213" s="4">
        <v>0.045436658884021</v>
      </c>
      <c r="T213" s="4">
        <v>-0.00724588955613814</v>
      </c>
      <c r="U213" s="4">
        <v>0.142968534430544</v>
      </c>
      <c r="V213" s="4">
        <v>-0.150214423986682</v>
      </c>
      <c r="W213" s="4">
        <v>0.005759364</v>
      </c>
    </row>
    <row r="214" spans="1:23" x14ac:dyDescent="0.25">
      <c r="A214">
        <v>90038</v>
      </c>
      <c r="B214" t="s">
        <v>73</v>
      </c>
      <c r="C214" t="s">
        <v>74</v>
      </c>
      <c r="D214">
        <v>5</v>
      </c>
      <c r="E214" s="1">
        <v>0.0993969416325652</v>
      </c>
      <c r="F214" s="1">
        <v>0.105056876302766</v>
      </c>
      <c r="G214" s="1">
        <v>0.2</v>
      </c>
      <c r="H214" s="1">
        <v>1</v>
      </c>
      <c r="I214" s="1">
        <v>0.6</v>
      </c>
      <c r="J214" t="s">
        <v>142</v>
      </c>
      <c r="K214" s="3">
        <v>5680.96785375977</v>
      </c>
      <c r="L214" s="4">
        <v>-0.286480349987161</v>
      </c>
      <c r="M214" s="4">
        <v>-0.0244735069587049</v>
      </c>
      <c r="N214" s="4">
        <v>0.142968534430544</v>
      </c>
      <c r="O214" s="4">
        <v>-0.167442041389249</v>
      </c>
      <c r="P214" s="4">
        <v>0.005759364</v>
      </c>
      <c r="Q214" t="s">
        <v>142</v>
      </c>
      <c r="R214" s="3">
        <v>5680.96785375977</v>
      </c>
      <c r="S214" s="4">
        <v>-0.286480349987161</v>
      </c>
      <c r="T214" s="4">
        <v>-0.0244735069587049</v>
      </c>
      <c r="U214" s="4">
        <v>0.142968534430544</v>
      </c>
      <c r="V214" s="4">
        <v>-0.167442041389249</v>
      </c>
      <c r="W214" s="4">
        <v>0.005759364</v>
      </c>
    </row>
    <row r="215" spans="1:23" x14ac:dyDescent="0.25">
      <c r="A215">
        <v>90963</v>
      </c>
      <c r="B215" t="s">
        <v>159</v>
      </c>
      <c r="C215" t="s">
        <v>160</v>
      </c>
      <c r="D215">
        <v>5</v>
      </c>
      <c r="E215" s="1">
        <v>0.0654370489174018</v>
      </c>
      <c r="F215" s="1">
        <v>0.0164114275206199</v>
      </c>
      <c r="G215" s="1">
        <v>0.6</v>
      </c>
      <c r="H215" s="1">
        <v>0.6</v>
      </c>
      <c r="I215" s="1">
        <v>0.6</v>
      </c>
      <c r="J215" t="s">
        <v>142</v>
      </c>
      <c r="K215" s="3">
        <v>1095.94581468201</v>
      </c>
      <c r="L215" s="4">
        <v>-0.010704469839433</v>
      </c>
      <c r="M215" s="4">
        <v>0.234103056968304</v>
      </c>
      <c r="N215" s="4">
        <v>0.142968534430544</v>
      </c>
      <c r="O215" s="4">
        <v>0.0911345225377596</v>
      </c>
      <c r="P215" s="4">
        <v>0.005759364</v>
      </c>
      <c r="Q215" t="s">
        <v>142</v>
      </c>
      <c r="R215" s="3">
        <v>1095.94581468201</v>
      </c>
      <c r="S215" s="4">
        <v>-0.010704469839433</v>
      </c>
      <c r="T215" s="4">
        <v>0.234103056968304</v>
      </c>
      <c r="U215" s="4">
        <v>0.142968534430544</v>
      </c>
      <c r="V215" s="4">
        <v>0.0911345225377596</v>
      </c>
      <c r="W215" s="4">
        <v>0.005759364</v>
      </c>
    </row>
    <row r="216" spans="1:23" x14ac:dyDescent="0.25">
      <c r="A216">
        <v>14318</v>
      </c>
      <c r="B216" t="s">
        <v>161</v>
      </c>
      <c r="C216" t="s">
        <v>162</v>
      </c>
      <c r="D216">
        <v>5</v>
      </c>
      <c r="E216" s="1">
        <v>0.104225352112676</v>
      </c>
      <c r="F216" s="1">
        <v>0.0718400596942348</v>
      </c>
      <c r="G216" s="1">
        <v>0.2</v>
      </c>
      <c r="H216" s="1">
        <v>0.8</v>
      </c>
      <c r="I216" s="1">
        <v>0.5</v>
      </c>
      <c r="J216" t="s">
        <v>142</v>
      </c>
      <c r="K216" s="3">
        <v>685.374088582993</v>
      </c>
      <c r="L216" s="4">
        <v>1.30963662139979</v>
      </c>
      <c r="M216" s="4">
        <v>0.60096157330939</v>
      </c>
      <c r="N216" s="4">
        <v>0.142968534430544</v>
      </c>
      <c r="O216" s="4">
        <v>0.457993038878846</v>
      </c>
      <c r="P216" s="4">
        <v>0.005759364</v>
      </c>
      <c r="Q216" t="s">
        <v>142</v>
      </c>
      <c r="R216" s="3">
        <v>685.374088582993</v>
      </c>
      <c r="S216" s="4">
        <v>1.30963662139979</v>
      </c>
      <c r="T216" s="4">
        <v>0.60096157330939</v>
      </c>
      <c r="U216" s="4">
        <v>0.142968534430544</v>
      </c>
      <c r="V216" s="4">
        <v>0.457993038878846</v>
      </c>
      <c r="W216" s="4">
        <v>0.005759364</v>
      </c>
    </row>
    <row r="217" spans="1:23" x14ac:dyDescent="0.25">
      <c r="A217">
        <v>14625</v>
      </c>
      <c r="B217" t="s">
        <v>163</v>
      </c>
      <c r="C217" t="s">
        <v>164</v>
      </c>
      <c r="D217">
        <v>5</v>
      </c>
      <c r="E217" s="1">
        <v>0.0727504786215699</v>
      </c>
      <c r="F217" s="1">
        <v>0.00164018793398418</v>
      </c>
      <c r="G217" s="1">
        <v>0.4</v>
      </c>
      <c r="H217" s="1">
        <v>0.6</v>
      </c>
      <c r="I217" s="1">
        <v>0.5</v>
      </c>
      <c r="J217" t="s">
        <v>142</v>
      </c>
      <c r="K217" s="3">
        <v>381.707353420258</v>
      </c>
      <c r="L217" s="4">
        <v>0.111871567812924</v>
      </c>
      <c r="M217" s="4">
        <v>0.346883901262492</v>
      </c>
      <c r="N217" s="4">
        <v>0.142968534430544</v>
      </c>
      <c r="O217" s="4">
        <v>0.203915366831948</v>
      </c>
      <c r="P217" s="4">
        <v>0.005759364</v>
      </c>
      <c r="Q217" t="s">
        <v>142</v>
      </c>
      <c r="R217" s="3">
        <v>381.707353420258</v>
      </c>
      <c r="S217" s="4">
        <v>0.111871567812924</v>
      </c>
      <c r="T217" s="4">
        <v>0.346883901262492</v>
      </c>
      <c r="U217" s="4">
        <v>0.142968534430544</v>
      </c>
      <c r="V217" s="4">
        <v>0.203915366831948</v>
      </c>
      <c r="W217" s="4">
        <v>0.005759364</v>
      </c>
    </row>
    <row r="218" spans="1:23" x14ac:dyDescent="0.25">
      <c r="A218">
        <v>17743</v>
      </c>
      <c r="B218" t="s">
        <v>75</v>
      </c>
      <c r="C218" t="s">
        <v>76</v>
      </c>
      <c r="D218">
        <v>5</v>
      </c>
      <c r="E218" s="1">
        <v>0.073823485190197</v>
      </c>
      <c r="F218" s="1">
        <v>0.00806702913583951</v>
      </c>
      <c r="G218" s="1">
        <v>0.4</v>
      </c>
      <c r="H218" s="1">
        <v>0.6</v>
      </c>
      <c r="I218" s="1">
        <v>0.5</v>
      </c>
      <c r="J218" t="s">
        <v>142</v>
      </c>
      <c r="K218" s="3">
        <v>8385.3405380249</v>
      </c>
      <c r="L218" s="4">
        <v>0.0574805202912728</v>
      </c>
      <c r="M218" s="4">
        <v>0.133582568222792</v>
      </c>
      <c r="N218" s="4">
        <v>0.142968534430544</v>
      </c>
      <c r="O218" s="4">
        <v>-0.00938596620775201</v>
      </c>
      <c r="P218" s="4">
        <v>0.005759364</v>
      </c>
      <c r="Q218" t="s">
        <v>142</v>
      </c>
      <c r="R218" s="3">
        <v>8385.3405380249</v>
      </c>
      <c r="S218" s="4">
        <v>0.0574805202912728</v>
      </c>
      <c r="T218" s="4">
        <v>0.133582568222792</v>
      </c>
      <c r="U218" s="4">
        <v>0.142968534430544</v>
      </c>
      <c r="V218" s="4">
        <v>-0.00938596620775201</v>
      </c>
      <c r="W218" s="4">
        <v>0.005759364</v>
      </c>
    </row>
    <row r="219" spans="1:23" x14ac:dyDescent="0.25">
      <c r="A219">
        <v>26710</v>
      </c>
      <c r="B219" t="s">
        <v>61</v>
      </c>
      <c r="C219" t="s">
        <v>62</v>
      </c>
      <c r="D219">
        <v>5</v>
      </c>
      <c r="E219" s="1">
        <v>0.0412128977151399</v>
      </c>
      <c r="F219" s="1">
        <v>-0.173028126139191</v>
      </c>
      <c r="G219" s="1">
        <v>0.8</v>
      </c>
      <c r="H219" s="1">
        <v>0.2</v>
      </c>
      <c r="I219" s="1">
        <v>0.5</v>
      </c>
      <c r="J219" t="s">
        <v>142</v>
      </c>
      <c r="K219" s="3">
        <v>15761.0210823898</v>
      </c>
      <c r="L219" s="4">
        <v>-0.0219157659336564</v>
      </c>
      <c r="M219" s="4">
        <v>0.0415864908260959</v>
      </c>
      <c r="N219" s="4">
        <v>0.142968534430544</v>
      </c>
      <c r="O219" s="4">
        <v>-0.101382043604448</v>
      </c>
      <c r="P219" s="4">
        <v>0.005759364</v>
      </c>
      <c r="Q219" t="s">
        <v>142</v>
      </c>
      <c r="R219" s="3">
        <v>15761.0210823898</v>
      </c>
      <c r="S219" s="4">
        <v>-0.0219157659336564</v>
      </c>
      <c r="T219" s="4">
        <v>0.0415864908260959</v>
      </c>
      <c r="U219" s="4">
        <v>0.142968534430544</v>
      </c>
      <c r="V219" s="4">
        <v>-0.101382043604448</v>
      </c>
      <c r="W219" s="4">
        <v>0.005759364</v>
      </c>
    </row>
    <row r="220" spans="1:23" x14ac:dyDescent="0.25">
      <c r="A220">
        <v>45751</v>
      </c>
      <c r="B220" t="s">
        <v>27</v>
      </c>
      <c r="C220" t="s">
        <v>28</v>
      </c>
      <c r="D220">
        <v>5</v>
      </c>
      <c r="E220" s="1">
        <v>0.0504512501849386</v>
      </c>
      <c r="F220" s="1">
        <v>-0.0379459057794181</v>
      </c>
      <c r="G220" s="1">
        <v>0.6</v>
      </c>
      <c r="H220" s="1">
        <v>0.4</v>
      </c>
      <c r="I220" s="1">
        <v>0.5</v>
      </c>
      <c r="J220" t="s">
        <v>142</v>
      </c>
      <c r="K220" s="3">
        <v>40175.4381681976</v>
      </c>
      <c r="L220" s="4">
        <v>0.0267579340385812</v>
      </c>
      <c r="M220" s="4">
        <v>0.0555698043201158</v>
      </c>
      <c r="N220" s="4">
        <v>0.142968534430544</v>
      </c>
      <c r="O220" s="4">
        <v>-0.0873987301104282</v>
      </c>
      <c r="P220" s="4">
        <v>0.005759364</v>
      </c>
      <c r="Q220" t="s">
        <v>142</v>
      </c>
      <c r="R220" s="3">
        <v>40175.4381681976</v>
      </c>
      <c r="S220" s="4">
        <v>0.0267579340385812</v>
      </c>
      <c r="T220" s="4">
        <v>0.0555698043201158</v>
      </c>
      <c r="U220" s="4">
        <v>0.142968534430544</v>
      </c>
      <c r="V220" s="4">
        <v>-0.0873987301104282</v>
      </c>
      <c r="W220" s="4">
        <v>0.005759364</v>
      </c>
    </row>
    <row r="221" spans="1:23" x14ac:dyDescent="0.25">
      <c r="A221">
        <v>63467</v>
      </c>
      <c r="B221" t="s">
        <v>43</v>
      </c>
      <c r="C221" t="s">
        <v>44</v>
      </c>
      <c r="D221">
        <v>5</v>
      </c>
      <c r="E221" s="1">
        <v>0.041016495764601</v>
      </c>
      <c r="F221" s="1">
        <v>-0.0949665372355474</v>
      </c>
      <c r="G221" s="1">
        <v>0.8</v>
      </c>
      <c r="H221" s="1">
        <v>0.2</v>
      </c>
      <c r="I221" s="1">
        <v>0.5</v>
      </c>
      <c r="J221" t="s">
        <v>142</v>
      </c>
      <c r="K221" s="3">
        <v>6041.3857871933</v>
      </c>
      <c r="L221" s="4">
        <v>0.0639081149213885</v>
      </c>
      <c r="M221" s="4">
        <v>0.294155044999663</v>
      </c>
      <c r="N221" s="4">
        <v>0.142968534430544</v>
      </c>
      <c r="O221" s="4">
        <v>0.151186510569119</v>
      </c>
      <c r="P221" s="4">
        <v>0.005759364</v>
      </c>
      <c r="Q221" t="s">
        <v>142</v>
      </c>
      <c r="R221" s="3">
        <v>6041.3857871933</v>
      </c>
      <c r="S221" s="4">
        <v>0.0639081149213885</v>
      </c>
      <c r="T221" s="4">
        <v>0.294155044999663</v>
      </c>
      <c r="U221" s="4">
        <v>0.142968534430544</v>
      </c>
      <c r="V221" s="4">
        <v>0.151186510569119</v>
      </c>
      <c r="W221" s="4">
        <v>0.005759364</v>
      </c>
    </row>
    <row r="222" spans="1:23" x14ac:dyDescent="0.25">
      <c r="A222">
        <v>76838</v>
      </c>
      <c r="B222" t="s">
        <v>130</v>
      </c>
      <c r="C222" t="s">
        <v>131</v>
      </c>
      <c r="D222">
        <v>5</v>
      </c>
      <c r="E222" s="1">
        <v>0.0505338078291815</v>
      </c>
      <c r="F222" s="1">
        <v>-0.0258028383246512</v>
      </c>
      <c r="G222" s="1">
        <v>0.6</v>
      </c>
      <c r="H222" s="1">
        <v>0.4</v>
      </c>
      <c r="I222" s="1">
        <v>0.5</v>
      </c>
      <c r="J222" t="s">
        <v>142</v>
      </c>
      <c r="K222" s="3">
        <v>3246.47675926209</v>
      </c>
      <c r="L222" s="4">
        <v>0.140004450824248</v>
      </c>
      <c r="M222" s="4">
        <v>-0.286648013890038</v>
      </c>
      <c r="N222" s="4">
        <v>0.142968534430544</v>
      </c>
      <c r="O222" s="4">
        <v>-0.429616548320582</v>
      </c>
      <c r="P222" s="4">
        <v>0.005759364</v>
      </c>
      <c r="Q222" t="s">
        <v>142</v>
      </c>
      <c r="R222" s="3">
        <v>3246.47675926209</v>
      </c>
      <c r="S222" s="4">
        <v>0.140004450824248</v>
      </c>
      <c r="T222" s="4">
        <v>-0.286648013890038</v>
      </c>
      <c r="U222" s="4">
        <v>0.142968534430544</v>
      </c>
      <c r="V222" s="4">
        <v>-0.429616548320582</v>
      </c>
      <c r="W222" s="4">
        <v>0.005759364</v>
      </c>
    </row>
    <row r="223" spans="1:23" x14ac:dyDescent="0.25">
      <c r="A223">
        <v>78211</v>
      </c>
      <c r="B223" t="s">
        <v>165</v>
      </c>
      <c r="C223" t="s">
        <v>166</v>
      </c>
      <c r="D223">
        <v>5</v>
      </c>
      <c r="E223" s="1">
        <v>0.100352112676056</v>
      </c>
      <c r="F223" s="1">
        <v>0.0390391560700489</v>
      </c>
      <c r="G223" s="1">
        <v>0.2</v>
      </c>
      <c r="H223" s="1">
        <v>0.8</v>
      </c>
      <c r="I223" s="1">
        <v>0.5</v>
      </c>
      <c r="J223" t="s">
        <v>142</v>
      </c>
      <c r="K223" s="3">
        <v>883.839626758575</v>
      </c>
      <c r="L223" s="4">
        <v>0.253858792704704</v>
      </c>
      <c r="M223" s="4">
        <v>0.491568348943457</v>
      </c>
      <c r="N223" s="4">
        <v>0.142968534430544</v>
      </c>
      <c r="O223" s="4">
        <v>0.348599814512913</v>
      </c>
      <c r="P223" s="4">
        <v>0.005759364</v>
      </c>
      <c r="Q223" t="s">
        <v>142</v>
      </c>
      <c r="R223" s="3">
        <v>883.839626758575</v>
      </c>
      <c r="S223" s="4">
        <v>0.253858792704704</v>
      </c>
      <c r="T223" s="4">
        <v>0.491568348943457</v>
      </c>
      <c r="U223" s="4">
        <v>0.142968534430544</v>
      </c>
      <c r="V223" s="4">
        <v>0.348599814512913</v>
      </c>
      <c r="W223" s="4">
        <v>0.005759364</v>
      </c>
    </row>
    <row r="224" spans="1:23" x14ac:dyDescent="0.25">
      <c r="A224">
        <v>83720</v>
      </c>
      <c r="B224" t="s">
        <v>136</v>
      </c>
      <c r="C224" t="s">
        <v>137</v>
      </c>
      <c r="D224">
        <v>5</v>
      </c>
      <c r="E224" s="1">
        <v>0.05489443378119</v>
      </c>
      <c r="F224" s="1">
        <v>-0.0856913842134012</v>
      </c>
      <c r="G224" s="1">
        <v>0.6</v>
      </c>
      <c r="H224" s="1">
        <v>0.4</v>
      </c>
      <c r="I224" s="1">
        <v>0.5</v>
      </c>
      <c r="J224" t="s">
        <v>142</v>
      </c>
      <c r="K224" s="3">
        <v>1531.7805</v>
      </c>
      <c r="L224" s="4">
        <v>0.00498748632072929</v>
      </c>
      <c r="M224" s="4">
        <v>0.308938403413094</v>
      </c>
      <c r="N224" s="4">
        <v>0.142968534430544</v>
      </c>
      <c r="O224" s="4">
        <v>0.16596986898255</v>
      </c>
      <c r="P224" s="4">
        <v>0.005759364</v>
      </c>
      <c r="Q224" t="s">
        <v>142</v>
      </c>
      <c r="R224" s="3">
        <v>1531.7805</v>
      </c>
      <c r="S224" s="4">
        <v>0.00498748632072929</v>
      </c>
      <c r="T224" s="4">
        <v>0.308938403413094</v>
      </c>
      <c r="U224" s="4">
        <v>0.142968534430544</v>
      </c>
      <c r="V224" s="4">
        <v>0.16596986898255</v>
      </c>
      <c r="W224" s="4">
        <v>0.005759364</v>
      </c>
    </row>
    <row r="225" spans="1:23" x14ac:dyDescent="0.25">
      <c r="A225">
        <v>89258</v>
      </c>
      <c r="B225" t="s">
        <v>21</v>
      </c>
      <c r="C225" t="s">
        <v>22</v>
      </c>
      <c r="D225">
        <v>5</v>
      </c>
      <c r="E225" s="1">
        <v>0.0946569286949837</v>
      </c>
      <c r="F225" s="1">
        <v>0.0448041460358952</v>
      </c>
      <c r="G225" s="1">
        <v>0.2</v>
      </c>
      <c r="H225" s="1">
        <v>0.8</v>
      </c>
      <c r="I225" s="1">
        <v>0.5</v>
      </c>
      <c r="J225" t="s">
        <v>142</v>
      </c>
      <c r="K225" s="3">
        <v>46392.0597381592</v>
      </c>
      <c r="L225" s="4">
        <v>0.028505554391113</v>
      </c>
      <c r="M225" s="4">
        <v>-0.0468820471433729</v>
      </c>
      <c r="N225" s="4">
        <v>0.142968534430544</v>
      </c>
      <c r="O225" s="4">
        <v>-0.189850581573917</v>
      </c>
      <c r="P225" s="4">
        <v>0.005759364</v>
      </c>
      <c r="Q225" t="s">
        <v>142</v>
      </c>
      <c r="R225" s="3">
        <v>46392.0597381592</v>
      </c>
      <c r="S225" s="4">
        <v>0.028505554391113</v>
      </c>
      <c r="T225" s="4">
        <v>-0.0468820471433729</v>
      </c>
      <c r="U225" s="4">
        <v>0.142968534430544</v>
      </c>
      <c r="V225" s="4">
        <v>-0.189850581573917</v>
      </c>
      <c r="W225" s="4">
        <v>0.005759364</v>
      </c>
    </row>
    <row r="226" spans="1:23" x14ac:dyDescent="0.25">
      <c r="A226">
        <v>89575</v>
      </c>
      <c r="B226" t="s">
        <v>167</v>
      </c>
      <c r="C226" t="s">
        <v>168</v>
      </c>
      <c r="D226">
        <v>5</v>
      </c>
      <c r="E226" s="1">
        <v>0.0582089552238806</v>
      </c>
      <c r="F226" s="1">
        <v>-0.0674691715045759</v>
      </c>
      <c r="G226" s="1">
        <v>0.6</v>
      </c>
      <c r="H226" s="1">
        <v>0.4</v>
      </c>
      <c r="I226" s="1">
        <v>0.5</v>
      </c>
      <c r="J226" t="s">
        <v>142</v>
      </c>
      <c r="K226" s="3">
        <v>1039.4577464447</v>
      </c>
      <c r="L226" s="4">
        <v>0.026477132013168</v>
      </c>
      <c r="M226" s="4">
        <v>0.346640398817721</v>
      </c>
      <c r="N226" s="4">
        <v>0.142968534430544</v>
      </c>
      <c r="O226" s="4">
        <v>0.203671864387176</v>
      </c>
      <c r="P226" s="4">
        <v>0.005759364</v>
      </c>
      <c r="Q226" t="s">
        <v>142</v>
      </c>
      <c r="R226" s="3">
        <v>1039.4577464447</v>
      </c>
      <c r="S226" s="4">
        <v>0.026477132013168</v>
      </c>
      <c r="T226" s="4">
        <v>0.346640398817721</v>
      </c>
      <c r="U226" s="4">
        <v>0.142968534430544</v>
      </c>
      <c r="V226" s="4">
        <v>0.203671864387176</v>
      </c>
      <c r="W226" s="4">
        <v>0.005759364</v>
      </c>
    </row>
    <row r="227" spans="1:23" x14ac:dyDescent="0.25">
      <c r="A227">
        <v>92655</v>
      </c>
      <c r="B227" t="s">
        <v>91</v>
      </c>
      <c r="C227" t="s">
        <v>92</v>
      </c>
      <c r="D227">
        <v>5</v>
      </c>
      <c r="E227" s="1">
        <v>0.0460509872531867</v>
      </c>
      <c r="F227" s="1">
        <v>-0.105539910038581</v>
      </c>
      <c r="G227" s="1">
        <v>0.8</v>
      </c>
      <c r="H227" s="1">
        <v>0.2</v>
      </c>
      <c r="I227" s="1">
        <v>0.5</v>
      </c>
      <c r="J227" t="s">
        <v>142</v>
      </c>
      <c r="K227" s="3">
        <v>178682.206275482</v>
      </c>
      <c r="L227" s="4">
        <v>0.176523006613327</v>
      </c>
      <c r="M227" s="4">
        <v>0.398969532914928</v>
      </c>
      <c r="N227" s="4">
        <v>0.142968534430544</v>
      </c>
      <c r="O227" s="4">
        <v>0.256000998484384</v>
      </c>
      <c r="P227" s="4">
        <v>0.005759364</v>
      </c>
      <c r="Q227" t="s">
        <v>142</v>
      </c>
      <c r="R227" s="3">
        <v>178682.206275482</v>
      </c>
      <c r="S227" s="4">
        <v>0.176523006613327</v>
      </c>
      <c r="T227" s="4">
        <v>0.398969532914928</v>
      </c>
      <c r="U227" s="4">
        <v>0.142968534430544</v>
      </c>
      <c r="V227" s="4">
        <v>0.256000998484384</v>
      </c>
      <c r="W227" s="4">
        <v>0.005759364</v>
      </c>
    </row>
    <row r="228" spans="1:23" x14ac:dyDescent="0.25">
      <c r="A228">
        <v>43837</v>
      </c>
      <c r="B228" t="s">
        <v>169</v>
      </c>
      <c r="C228" t="s">
        <v>170</v>
      </c>
      <c r="D228">
        <v>5</v>
      </c>
      <c r="E228" s="1">
        <v>0.0654731457800511</v>
      </c>
      <c r="F228" s="1">
        <v>-0.0940982479495131</v>
      </c>
      <c r="G228" s="1">
        <v>0.6</v>
      </c>
      <c r="H228" s="1">
        <v>0.2</v>
      </c>
      <c r="I228" s="1">
        <v>0.4</v>
      </c>
      <c r="J228" t="s">
        <v>142</v>
      </c>
      <c r="K228" s="3">
        <v>334.930112495422</v>
      </c>
      <c r="L228" s="4">
        <v>-0.40335068877404</v>
      </c>
      <c r="M228" s="4">
        <v>0.891035906354688</v>
      </c>
      <c r="N228" s="4">
        <v>0.142968534430544</v>
      </c>
      <c r="O228" s="4">
        <v>0.748067371924144</v>
      </c>
      <c r="P228" s="4">
        <v>0.005759364</v>
      </c>
      <c r="Q228" t="s">
        <v>142</v>
      </c>
      <c r="R228" s="3">
        <v>334.930112495422</v>
      </c>
      <c r="S228" s="4">
        <v>-0.40335068877404</v>
      </c>
      <c r="T228" s="4">
        <v>0.891035906354688</v>
      </c>
      <c r="U228" s="4">
        <v>0.142968534430544</v>
      </c>
      <c r="V228" s="4">
        <v>0.748067371924144</v>
      </c>
      <c r="W228" s="4">
        <v>0.005759364</v>
      </c>
    </row>
    <row r="229" spans="1:23" x14ac:dyDescent="0.25">
      <c r="A229">
        <v>49015</v>
      </c>
      <c r="B229" t="s">
        <v>81</v>
      </c>
      <c r="C229" t="s">
        <v>82</v>
      </c>
      <c r="D229">
        <v>5</v>
      </c>
      <c r="E229" s="1">
        <v>0.0768070016598763</v>
      </c>
      <c r="F229" s="1">
        <v>-0.0325530077840078</v>
      </c>
      <c r="G229" s="1">
        <v>0.4</v>
      </c>
      <c r="H229" s="1">
        <v>0.4</v>
      </c>
      <c r="I229" s="1">
        <v>0.4</v>
      </c>
      <c r="J229" t="s">
        <v>142</v>
      </c>
      <c r="K229" s="3">
        <v>15156.7076506653</v>
      </c>
      <c r="L229" s="4">
        <v>-0.0169830910708988</v>
      </c>
      <c r="M229" s="4">
        <v>0.0370486256016773</v>
      </c>
      <c r="N229" s="4">
        <v>0.142968534430544</v>
      </c>
      <c r="O229" s="4">
        <v>-0.105919908828867</v>
      </c>
      <c r="P229" s="4">
        <v>0.005759364</v>
      </c>
      <c r="Q229" t="s">
        <v>142</v>
      </c>
      <c r="R229" s="3">
        <v>15156.7076506653</v>
      </c>
      <c r="S229" s="4">
        <v>-0.0169830910708988</v>
      </c>
      <c r="T229" s="4">
        <v>0.0370486256016773</v>
      </c>
      <c r="U229" s="4">
        <v>0.142968534430544</v>
      </c>
      <c r="V229" s="4">
        <v>-0.105919908828867</v>
      </c>
      <c r="W229" s="4">
        <v>0.005759364</v>
      </c>
    </row>
    <row r="230" spans="1:23" x14ac:dyDescent="0.25">
      <c r="A230">
        <v>57904</v>
      </c>
      <c r="B230" t="s">
        <v>41</v>
      </c>
      <c r="C230" t="s">
        <v>42</v>
      </c>
      <c r="D230">
        <v>5</v>
      </c>
      <c r="E230" s="1">
        <v>0.092816091954023</v>
      </c>
      <c r="F230" s="1">
        <v>-0.00641760144806347</v>
      </c>
      <c r="G230" s="1">
        <v>0.2</v>
      </c>
      <c r="H230" s="1">
        <v>0.6</v>
      </c>
      <c r="I230" s="1">
        <v>0.4</v>
      </c>
      <c r="J230" t="s">
        <v>142</v>
      </c>
      <c r="K230" s="3">
        <v>30827.0750811081</v>
      </c>
      <c r="L230" s="4">
        <v>0.0703214695752009</v>
      </c>
      <c r="M230" s="4">
        <v>0.222018718747692</v>
      </c>
      <c r="N230" s="4">
        <v>0.142968534430544</v>
      </c>
      <c r="O230" s="4">
        <v>0.0790501843171485</v>
      </c>
      <c r="P230" s="4">
        <v>0.005759364</v>
      </c>
      <c r="Q230" t="s">
        <v>142</v>
      </c>
      <c r="R230" s="3">
        <v>30827.0750811081</v>
      </c>
      <c r="S230" s="4">
        <v>0.0703214695752009</v>
      </c>
      <c r="T230" s="4">
        <v>0.222018718747692</v>
      </c>
      <c r="U230" s="4">
        <v>0.142968534430544</v>
      </c>
      <c r="V230" s="4">
        <v>0.0790501843171485</v>
      </c>
      <c r="W230" s="4">
        <v>0.005759364</v>
      </c>
    </row>
    <row r="231" spans="1:23" x14ac:dyDescent="0.25">
      <c r="A231">
        <v>91688</v>
      </c>
      <c r="B231" t="s">
        <v>171</v>
      </c>
      <c r="C231" t="s">
        <v>172</v>
      </c>
      <c r="D231">
        <v>5</v>
      </c>
      <c r="E231" s="1">
        <v>0.0830808080808081</v>
      </c>
      <c r="F231" s="1">
        <v>-0.0167442167696265</v>
      </c>
      <c r="G231" s="1">
        <v>0.4</v>
      </c>
      <c r="H231" s="1">
        <v>0.4</v>
      </c>
      <c r="I231" s="1">
        <v>0.4</v>
      </c>
      <c r="J231" t="s">
        <v>142</v>
      </c>
      <c r="K231" s="3">
        <v>1365.35937537384</v>
      </c>
      <c r="L231" s="4">
        <v>0.0368302087488365</v>
      </c>
      <c r="M231" s="4">
        <v>0.00529333193527703</v>
      </c>
      <c r="N231" s="4">
        <v>0.142968534430544</v>
      </c>
      <c r="O231" s="4">
        <v>-0.137675202495267</v>
      </c>
      <c r="P231" s="4">
        <v>0.005759364</v>
      </c>
      <c r="Q231" t="s">
        <v>142</v>
      </c>
      <c r="R231" s="3">
        <v>1365.35937537384</v>
      </c>
      <c r="S231" s="4">
        <v>0.0368302087488365</v>
      </c>
      <c r="T231" s="4">
        <v>0.00529333193527703</v>
      </c>
      <c r="U231" s="4">
        <v>0.142968534430544</v>
      </c>
      <c r="V231" s="4">
        <v>-0.137675202495267</v>
      </c>
      <c r="W231" s="4">
        <v>0.005759364</v>
      </c>
    </row>
    <row r="232" spans="1:23" x14ac:dyDescent="0.25">
      <c r="A232">
        <v>92780</v>
      </c>
      <c r="B232" t="s">
        <v>173</v>
      </c>
      <c r="C232" t="s">
        <v>174</v>
      </c>
      <c r="D232">
        <v>5</v>
      </c>
      <c r="E232" s="1">
        <v>0.0747213779128673</v>
      </c>
      <c r="F232" s="1">
        <v>-0.0741619432780886</v>
      </c>
      <c r="G232" s="1">
        <v>0.4</v>
      </c>
      <c r="H232" s="1">
        <v>0.4</v>
      </c>
      <c r="I232" s="1">
        <v>0.4</v>
      </c>
      <c r="J232" t="s">
        <v>142</v>
      </c>
      <c r="K232" s="3">
        <v>463.457695484161</v>
      </c>
      <c r="L232" s="4">
        <v>-0.111294762029904</v>
      </c>
      <c r="M232" s="4">
        <v>-0.0300555998593437</v>
      </c>
      <c r="N232" s="4">
        <v>0.142968534430544</v>
      </c>
      <c r="O232" s="4">
        <v>-0.173024134289888</v>
      </c>
      <c r="P232" s="4">
        <v>0.005759364</v>
      </c>
      <c r="Q232" t="s">
        <v>142</v>
      </c>
      <c r="R232" s="3">
        <v>463.457695484161</v>
      </c>
      <c r="S232" s="4">
        <v>-0.111294762029904</v>
      </c>
      <c r="T232" s="4">
        <v>-0.0300555998593437</v>
      </c>
      <c r="U232" s="4">
        <v>0.142968534430544</v>
      </c>
      <c r="V232" s="4">
        <v>-0.173024134289888</v>
      </c>
      <c r="W232" s="4">
        <v>0.005759364</v>
      </c>
    </row>
    <row r="233" spans="1:23" x14ac:dyDescent="0.25">
      <c r="A233">
        <v>93374</v>
      </c>
      <c r="B233" t="s">
        <v>134</v>
      </c>
      <c r="C233" t="s">
        <v>135</v>
      </c>
      <c r="D233">
        <v>5</v>
      </c>
      <c r="E233" s="1">
        <v>0.0846300846300846</v>
      </c>
      <c r="F233" s="1">
        <v>0.0189058766897606</v>
      </c>
      <c r="G233" s="1">
        <v>0.2</v>
      </c>
      <c r="H233" s="1">
        <v>0.6</v>
      </c>
      <c r="I233" s="1">
        <v>0.4</v>
      </c>
      <c r="J233" t="s">
        <v>142</v>
      </c>
      <c r="K233" s="3">
        <v>4939.58554821014</v>
      </c>
      <c r="L233" s="4">
        <v>0.0774078228117351</v>
      </c>
      <c r="M233" s="4">
        <v>0.231124893334007</v>
      </c>
      <c r="N233" s="4">
        <v>0.142968534430544</v>
      </c>
      <c r="O233" s="4">
        <v>0.0881563589034633</v>
      </c>
      <c r="P233" s="4">
        <v>0.005759364</v>
      </c>
      <c r="Q233" t="s">
        <v>142</v>
      </c>
      <c r="R233" s="3">
        <v>4939.58554821014</v>
      </c>
      <c r="S233" s="4">
        <v>0.0774078228117351</v>
      </c>
      <c r="T233" s="4">
        <v>0.231124893334007</v>
      </c>
      <c r="U233" s="4">
        <v>0.142968534430544</v>
      </c>
      <c r="V233" s="4">
        <v>0.0881563589034633</v>
      </c>
      <c r="W233" s="4">
        <v>0.005759364</v>
      </c>
    </row>
    <row r="234" spans="1:23" x14ac:dyDescent="0.25">
      <c r="A234">
        <v>13919</v>
      </c>
      <c r="B234" t="s">
        <v>113</v>
      </c>
      <c r="C234" t="s">
        <v>114</v>
      </c>
      <c r="D234">
        <v>5</v>
      </c>
      <c r="E234" s="1">
        <v>0.0737777777777778</v>
      </c>
      <c r="F234" s="1">
        <v>-0.168246138944862</v>
      </c>
      <c r="G234" s="1">
        <v>0.4</v>
      </c>
      <c r="H234" s="1">
        <v>0.2</v>
      </c>
      <c r="I234" s="1">
        <v>0.3</v>
      </c>
      <c r="J234" t="s">
        <v>142</v>
      </c>
      <c r="K234" s="3">
        <v>785.104867261887</v>
      </c>
      <c r="L234" s="4">
        <v>-0.280033940651001</v>
      </c>
      <c r="M234" s="4">
        <v>0.121670715320594</v>
      </c>
      <c r="N234" s="4">
        <v>0.142968534430544</v>
      </c>
      <c r="O234" s="4">
        <v>-0.0212978191099502</v>
      </c>
      <c r="P234" s="4">
        <v>0.005759364</v>
      </c>
      <c r="Q234" t="s">
        <v>142</v>
      </c>
      <c r="R234" s="3">
        <v>785.104867261887</v>
      </c>
      <c r="S234" s="4">
        <v>-0.280033940651001</v>
      </c>
      <c r="T234" s="4">
        <v>0.121670715320594</v>
      </c>
      <c r="U234" s="4">
        <v>0.142968534430544</v>
      </c>
      <c r="V234" s="4">
        <v>-0.0212978191099502</v>
      </c>
      <c r="W234" s="4">
        <v>0.005759364</v>
      </c>
    </row>
    <row r="235" spans="1:23" x14ac:dyDescent="0.25">
      <c r="A235">
        <v>47626</v>
      </c>
      <c r="B235" t="s">
        <v>77</v>
      </c>
      <c r="C235" t="s">
        <v>78</v>
      </c>
      <c r="D235">
        <v>5</v>
      </c>
      <c r="E235" s="1">
        <v>0.0766265060240964</v>
      </c>
      <c r="F235" s="1">
        <v>-0.217748743298435</v>
      </c>
      <c r="G235" s="1">
        <v>0.4</v>
      </c>
      <c r="H235" s="1">
        <v>0.2</v>
      </c>
      <c r="I235" s="1">
        <v>0.3</v>
      </c>
      <c r="J235" t="s">
        <v>142</v>
      </c>
      <c r="K235" s="3">
        <v>13210.275</v>
      </c>
      <c r="L235" s="4">
        <v>0.0250860250860251</v>
      </c>
      <c r="M235" s="4">
        <v>0.0961867602775703</v>
      </c>
      <c r="N235" s="4">
        <v>0.142968534430544</v>
      </c>
      <c r="O235" s="4">
        <v>-0.0467817741529737</v>
      </c>
      <c r="P235" s="4">
        <v>0.005759364</v>
      </c>
      <c r="Q235" t="s">
        <v>142</v>
      </c>
      <c r="R235" s="3">
        <v>13210.275</v>
      </c>
      <c r="S235" s="4">
        <v>0.0250860250860251</v>
      </c>
      <c r="T235" s="4">
        <v>0.0961867602775703</v>
      </c>
      <c r="U235" s="4">
        <v>0.142968534430544</v>
      </c>
      <c r="V235" s="4">
        <v>-0.0467817741529737</v>
      </c>
      <c r="W235" s="4">
        <v>0.005759364</v>
      </c>
    </row>
    <row r="236" spans="1:23" x14ac:dyDescent="0.25">
      <c r="A236">
        <v>60687</v>
      </c>
      <c r="B236" t="s">
        <v>83</v>
      </c>
      <c r="C236" t="s">
        <v>84</v>
      </c>
      <c r="D236">
        <v>5</v>
      </c>
      <c r="E236" s="1">
        <v>0.084770767135724</v>
      </c>
      <c r="F236" s="1">
        <v>-0.0893591586340413</v>
      </c>
      <c r="G236" s="1">
        <v>0.2</v>
      </c>
      <c r="H236" s="1">
        <v>0.4</v>
      </c>
      <c r="I236" s="1">
        <v>0.3</v>
      </c>
      <c r="J236" t="s">
        <v>142</v>
      </c>
      <c r="K236" s="3">
        <v>8708.48893070221</v>
      </c>
      <c r="L236" s="4">
        <v>0.0549199084668192</v>
      </c>
      <c r="M236" s="4">
        <v>0.151074489629425</v>
      </c>
      <c r="N236" s="4">
        <v>0.142968534430544</v>
      </c>
      <c r="O236" s="4">
        <v>0.00810595519888135</v>
      </c>
      <c r="P236" s="4">
        <v>0.005759364</v>
      </c>
      <c r="Q236" t="s">
        <v>142</v>
      </c>
      <c r="R236" s="3">
        <v>8708.48893070221</v>
      </c>
      <c r="S236" s="4">
        <v>0.0549199084668192</v>
      </c>
      <c r="T236" s="4">
        <v>0.151074489629425</v>
      </c>
      <c r="U236" s="4">
        <v>0.142968534430544</v>
      </c>
      <c r="V236" s="4">
        <v>0.00810595519888135</v>
      </c>
      <c r="W236" s="4">
        <v>0.005759364</v>
      </c>
    </row>
    <row r="237" spans="1:23" x14ac:dyDescent="0.25">
      <c r="A237">
        <v>71175</v>
      </c>
      <c r="B237" t="s">
        <v>65</v>
      </c>
      <c r="C237" t="s">
        <v>66</v>
      </c>
      <c r="D237">
        <v>5</v>
      </c>
      <c r="E237" s="1">
        <v>0.0901434099704075</v>
      </c>
      <c r="F237" s="1">
        <v>-0.0316640241288095</v>
      </c>
      <c r="G237" s="1">
        <v>0.2</v>
      </c>
      <c r="H237" s="1">
        <v>0.4</v>
      </c>
      <c r="I237" s="1">
        <v>0.3</v>
      </c>
      <c r="J237" t="s">
        <v>142</v>
      </c>
      <c r="K237" s="3">
        <v>10641.6190637588</v>
      </c>
      <c r="L237" s="4">
        <v>0.0277702834708668</v>
      </c>
      <c r="M237" s="4">
        <v>-0.121460899655838</v>
      </c>
      <c r="N237" s="4">
        <v>0.142968534430544</v>
      </c>
      <c r="O237" s="4">
        <v>-0.264429434086382</v>
      </c>
      <c r="P237" s="4">
        <v>0.005759364</v>
      </c>
      <c r="Q237" t="s">
        <v>142</v>
      </c>
      <c r="R237" s="3">
        <v>10641.6190637588</v>
      </c>
      <c r="S237" s="4">
        <v>0.0277702834708668</v>
      </c>
      <c r="T237" s="4">
        <v>-0.121460899655838</v>
      </c>
      <c r="U237" s="4">
        <v>0.142968534430544</v>
      </c>
      <c r="V237" s="4">
        <v>-0.264429434086382</v>
      </c>
      <c r="W237" s="4">
        <v>0.005759364</v>
      </c>
    </row>
    <row r="238" spans="1:23" x14ac:dyDescent="0.25">
      <c r="A238">
        <v>76804</v>
      </c>
      <c r="B238" t="s">
        <v>107</v>
      </c>
      <c r="C238" t="s">
        <v>108</v>
      </c>
      <c r="D238">
        <v>5</v>
      </c>
      <c r="E238" s="1">
        <v>0.098135426889107</v>
      </c>
      <c r="F238" s="1">
        <v>-0.0665166419788235</v>
      </c>
      <c r="G238" s="1">
        <v>0.2</v>
      </c>
      <c r="H238" s="1">
        <v>0.4</v>
      </c>
      <c r="I238" s="1">
        <v>0.3</v>
      </c>
      <c r="J238" t="s">
        <v>142</v>
      </c>
      <c r="K238" s="3">
        <v>4150.23832932186</v>
      </c>
      <c r="L238" s="4">
        <v>0.0203545993039389</v>
      </c>
      <c r="M238" s="4">
        <v>-0.0179583705706131</v>
      </c>
      <c r="N238" s="4">
        <v>0.142968534430544</v>
      </c>
      <c r="O238" s="4">
        <v>-0.160926905001157</v>
      </c>
      <c r="P238" s="4">
        <v>0.005759364</v>
      </c>
      <c r="Q238" t="s">
        <v>142</v>
      </c>
      <c r="R238" s="3">
        <v>4150.23832932186</v>
      </c>
      <c r="S238" s="4">
        <v>0.0203545993039389</v>
      </c>
      <c r="T238" s="4">
        <v>-0.0179583705706131</v>
      </c>
      <c r="U238" s="4">
        <v>0.142968534430544</v>
      </c>
      <c r="V238" s="4">
        <v>-0.160926905001157</v>
      </c>
      <c r="W238" s="4">
        <v>0.005759364</v>
      </c>
    </row>
    <row r="239" spans="1:23" x14ac:dyDescent="0.25">
      <c r="A239">
        <v>79210</v>
      </c>
      <c r="B239" t="s">
        <v>95</v>
      </c>
      <c r="C239" t="s">
        <v>96</v>
      </c>
      <c r="D239">
        <v>5</v>
      </c>
      <c r="E239" s="1">
        <v>0.0867042835571803</v>
      </c>
      <c r="F239" s="1">
        <v>-0.021777193015947</v>
      </c>
      <c r="G239" s="1">
        <v>0.2</v>
      </c>
      <c r="H239" s="1">
        <v>0.4</v>
      </c>
      <c r="I239" s="1">
        <v>0.3</v>
      </c>
      <c r="J239" t="s">
        <v>142</v>
      </c>
      <c r="K239" s="3">
        <v>8267.28884069824</v>
      </c>
      <c r="L239" s="4">
        <v>0.105904602513031</v>
      </c>
      <c r="M239" s="4">
        <v>0.216390379064649</v>
      </c>
      <c r="N239" s="4">
        <v>0.142968534430544</v>
      </c>
      <c r="O239" s="4">
        <v>0.0734218446341051</v>
      </c>
      <c r="P239" s="4">
        <v>0.005759364</v>
      </c>
      <c r="Q239" t="s">
        <v>142</v>
      </c>
      <c r="R239" s="3">
        <v>8267.28884069824</v>
      </c>
      <c r="S239" s="4">
        <v>0.105904602513031</v>
      </c>
      <c r="T239" s="4">
        <v>0.216390379064649</v>
      </c>
      <c r="U239" s="4">
        <v>0.142968534430544</v>
      </c>
      <c r="V239" s="4">
        <v>0.0734218446341051</v>
      </c>
      <c r="W239" s="4">
        <v>0.005759364</v>
      </c>
    </row>
    <row r="240" spans="1:23" x14ac:dyDescent="0.25">
      <c r="A240">
        <v>88963</v>
      </c>
      <c r="B240" t="s">
        <v>175</v>
      </c>
      <c r="C240" t="s">
        <v>176</v>
      </c>
      <c r="D240">
        <v>5</v>
      </c>
      <c r="E240" s="1">
        <v>0.0663615560640732</v>
      </c>
      <c r="F240" s="1">
        <v>-0.145112879756596</v>
      </c>
      <c r="G240" s="1">
        <v>0.4</v>
      </c>
      <c r="H240" s="1">
        <v>0.2</v>
      </c>
      <c r="I240" s="1">
        <v>0.3</v>
      </c>
      <c r="J240" t="s">
        <v>142</v>
      </c>
      <c r="K240" s="3">
        <v>345.347991714478</v>
      </c>
      <c r="L240" s="4">
        <v>0.0822329990080458</v>
      </c>
      <c r="M240" s="4">
        <v>-0.0767815605102021</v>
      </c>
      <c r="N240" s="4">
        <v>0.142968534430544</v>
      </c>
      <c r="O240" s="4">
        <v>-0.219750094940746</v>
      </c>
      <c r="P240" s="4">
        <v>0.005759364</v>
      </c>
      <c r="Q240" t="s">
        <v>142</v>
      </c>
      <c r="R240" s="3">
        <v>345.347991714478</v>
      </c>
      <c r="S240" s="4">
        <v>0.0822329990080458</v>
      </c>
      <c r="T240" s="4">
        <v>-0.0767815605102021</v>
      </c>
      <c r="U240" s="4">
        <v>0.142968534430544</v>
      </c>
      <c r="V240" s="4">
        <v>-0.219750094940746</v>
      </c>
      <c r="W240" s="4">
        <v>0.005759364</v>
      </c>
    </row>
    <row r="241" spans="1:23" x14ac:dyDescent="0.25">
      <c r="A241">
        <v>90925</v>
      </c>
      <c r="B241" t="s">
        <v>105</v>
      </c>
      <c r="C241" t="s">
        <v>106</v>
      </c>
      <c r="D241">
        <v>5</v>
      </c>
      <c r="E241" s="1">
        <v>0.0706713780918728</v>
      </c>
      <c r="F241" s="1">
        <v>-0.133464799573951</v>
      </c>
      <c r="G241" s="1">
        <v>0.4</v>
      </c>
      <c r="H241" s="1">
        <v>0.2</v>
      </c>
      <c r="I241" s="1">
        <v>0.3</v>
      </c>
      <c r="J241" t="s">
        <v>142</v>
      </c>
      <c r="K241" s="3">
        <v>12223.1241492462</v>
      </c>
      <c r="L241" s="4">
        <v>0.0437772925764192</v>
      </c>
      <c r="M241" s="4">
        <v>0.222487574636719</v>
      </c>
      <c r="N241" s="4">
        <v>0.142968534430544</v>
      </c>
      <c r="O241" s="4">
        <v>0.0795190402061745</v>
      </c>
      <c r="P241" s="4">
        <v>0.005759364</v>
      </c>
      <c r="Q241" t="s">
        <v>142</v>
      </c>
      <c r="R241" s="3">
        <v>12223.1241492462</v>
      </c>
      <c r="S241" s="4">
        <v>0.0437772925764192</v>
      </c>
      <c r="T241" s="4">
        <v>0.222487574636719</v>
      </c>
      <c r="U241" s="4">
        <v>0.142968534430544</v>
      </c>
      <c r="V241" s="4">
        <v>0.0795190402061745</v>
      </c>
      <c r="W241" s="4">
        <v>0.005759364</v>
      </c>
    </row>
    <row r="242" spans="1:23" x14ac:dyDescent="0.25">
      <c r="A242">
        <v>91603</v>
      </c>
      <c r="B242" t="s">
        <v>140</v>
      </c>
      <c r="C242" t="s">
        <v>141</v>
      </c>
      <c r="D242">
        <v>5</v>
      </c>
      <c r="E242" s="1">
        <v>0.0766983199415632</v>
      </c>
      <c r="F242" s="1">
        <v>-0.145363500033461</v>
      </c>
      <c r="G242" s="1">
        <v>0.4</v>
      </c>
      <c r="H242" s="1">
        <v>0.2</v>
      </c>
      <c r="I242" s="1">
        <v>0.3</v>
      </c>
      <c r="J242" t="s">
        <v>142</v>
      </c>
      <c r="K242" s="3">
        <v>2964.21524721813</v>
      </c>
      <c r="L242" s="4">
        <v>0.173143588066731</v>
      </c>
      <c r="M242" s="4">
        <v>0.0733421911721863</v>
      </c>
      <c r="N242" s="4">
        <v>0.142968534430544</v>
      </c>
      <c r="O242" s="4">
        <v>-0.0696263432583577</v>
      </c>
      <c r="P242" s="4">
        <v>0.005759364</v>
      </c>
      <c r="Q242" t="s">
        <v>142</v>
      </c>
      <c r="R242" s="3">
        <v>2964.21524721813</v>
      </c>
      <c r="S242" s="4">
        <v>0.173143588066731</v>
      </c>
      <c r="T242" s="4">
        <v>0.0733421911721863</v>
      </c>
      <c r="U242" s="4">
        <v>0.142968534430544</v>
      </c>
      <c r="V242" s="4">
        <v>-0.0696263432583577</v>
      </c>
      <c r="W242" s="4">
        <v>0.005759364</v>
      </c>
    </row>
    <row r="243" spans="1:23" x14ac:dyDescent="0.25">
      <c r="A243">
        <v>56822</v>
      </c>
      <c r="B243" t="s">
        <v>177</v>
      </c>
      <c r="C243" t="s">
        <v>178</v>
      </c>
      <c r="D243">
        <v>5</v>
      </c>
      <c r="E243" s="1">
        <v>0.0892857142857143</v>
      </c>
      <c r="F243" s="1">
        <v>-0.168154409363658</v>
      </c>
      <c r="G243" s="1">
        <v>0.2</v>
      </c>
      <c r="H243" s="1">
        <v>0.2</v>
      </c>
      <c r="I243" s="1">
        <v>0.2</v>
      </c>
      <c r="J243" t="s">
        <v>142</v>
      </c>
      <c r="K243" s="3">
        <v>1098.21430322266</v>
      </c>
      <c r="L243" s="4">
        <v>0.156955964435161</v>
      </c>
      <c r="M243" s="4">
        <v>0.0140872474943725</v>
      </c>
      <c r="N243" s="4">
        <v>0.142968534430544</v>
      </c>
      <c r="O243" s="4">
        <v>-0.128881286936172</v>
      </c>
      <c r="P243" s="4">
        <v>0.005759364</v>
      </c>
      <c r="Q243" t="s">
        <v>142</v>
      </c>
      <c r="R243" s="3">
        <v>1098.21430322266</v>
      </c>
      <c r="S243" s="4">
        <v>0.156955964435161</v>
      </c>
      <c r="T243" s="4">
        <v>0.0140872474943725</v>
      </c>
      <c r="U243" s="4">
        <v>0.142968534430544</v>
      </c>
      <c r="V243" s="4">
        <v>-0.128881286936172</v>
      </c>
      <c r="W243" s="4">
        <v>0.005759364</v>
      </c>
    </row>
    <row r="244" spans="1:23" x14ac:dyDescent="0.25">
      <c r="A244">
        <v>59396</v>
      </c>
      <c r="B244" t="s">
        <v>100</v>
      </c>
      <c r="C244" t="s">
        <v>101</v>
      </c>
      <c r="D244">
        <v>5</v>
      </c>
      <c r="E244" s="1">
        <v>0.0947368421052632</v>
      </c>
      <c r="F244" s="1">
        <v>-0.126791758596175</v>
      </c>
      <c r="G244" s="1">
        <v>0.2</v>
      </c>
      <c r="H244" s="1">
        <v>0.2</v>
      </c>
      <c r="I244" s="1">
        <v>0.2</v>
      </c>
      <c r="J244" t="s">
        <v>142</v>
      </c>
      <c r="K244" s="3">
        <v>5147.85429099083</v>
      </c>
      <c r="L244" s="4">
        <v>0.0233086488267633</v>
      </c>
      <c r="M244" s="4">
        <v>0.152419816147525</v>
      </c>
      <c r="N244" s="4">
        <v>0.142968534430544</v>
      </c>
      <c r="O244" s="4">
        <v>0.00945128171698051</v>
      </c>
      <c r="P244" s="4">
        <v>0.005759364</v>
      </c>
      <c r="Q244" t="s">
        <v>142</v>
      </c>
      <c r="R244" s="3">
        <v>5147.85429099083</v>
      </c>
      <c r="S244" s="4">
        <v>0.0233086488267633</v>
      </c>
      <c r="T244" s="4">
        <v>0.152419816147525</v>
      </c>
      <c r="U244" s="4">
        <v>0.142968534430544</v>
      </c>
      <c r="V244" s="4">
        <v>0.00945128171698051</v>
      </c>
      <c r="W244" s="4">
        <v>0.005759364</v>
      </c>
    </row>
    <row r="245" spans="1:23" x14ac:dyDescent="0.25">
      <c r="A245">
        <v>59459</v>
      </c>
      <c r="B245" t="s">
        <v>63</v>
      </c>
      <c r="C245" t="s">
        <v>64</v>
      </c>
      <c r="D245">
        <v>5</v>
      </c>
      <c r="E245" s="1">
        <v>0.084871752981539</v>
      </c>
      <c r="F245" s="1">
        <v>-0.14368855141594</v>
      </c>
      <c r="G245" s="1">
        <v>0.2</v>
      </c>
      <c r="H245" s="1">
        <v>0.2</v>
      </c>
      <c r="I245" s="1">
        <v>0.2</v>
      </c>
      <c r="J245" t="s">
        <v>142</v>
      </c>
      <c r="K245" s="3">
        <v>35354.506138916</v>
      </c>
      <c r="L245" s="4">
        <v>0.0257693175833271</v>
      </c>
      <c r="M245" s="4">
        <v>0.0522923658103551</v>
      </c>
      <c r="N245" s="4">
        <v>0.142968534430544</v>
      </c>
      <c r="O245" s="4">
        <v>-0.0906761686201889</v>
      </c>
      <c r="P245" s="4">
        <v>0.005759364</v>
      </c>
      <c r="Q245" t="s">
        <v>142</v>
      </c>
      <c r="R245" s="3">
        <v>35354.506138916</v>
      </c>
      <c r="S245" s="4">
        <v>0.0257693175833271</v>
      </c>
      <c r="T245" s="4">
        <v>0.0522923658103551</v>
      </c>
      <c r="U245" s="4">
        <v>0.142968534430544</v>
      </c>
      <c r="V245" s="4">
        <v>-0.0906761686201889</v>
      </c>
      <c r="W245" s="4">
        <v>0.005759364</v>
      </c>
    </row>
    <row r="246" spans="1:23" x14ac:dyDescent="0.25">
      <c r="A246">
        <v>14318</v>
      </c>
      <c r="B246" t="s">
        <v>161</v>
      </c>
      <c r="C246" t="s">
        <v>162</v>
      </c>
      <c r="D246">
        <v>6</v>
      </c>
      <c r="E246" s="1">
        <v>0.0217647058823529</v>
      </c>
      <c r="F246" s="1">
        <v>0.152725520324135</v>
      </c>
      <c r="G246" s="1">
        <v>1</v>
      </c>
      <c r="H246" s="1">
        <v>1</v>
      </c>
      <c r="I246" s="1">
        <v>1</v>
      </c>
      <c r="J246" t="s">
        <v>179</v>
      </c>
      <c r="K246" s="3">
        <v>1071.79014983368</v>
      </c>
      <c r="L246" s="4">
        <v>0.475935872067197</v>
      </c>
      <c r="M246" s="4">
        <v>0.637237275203437</v>
      </c>
      <c r="N246" s="4">
        <v>0.0172300475204143</v>
      </c>
      <c r="O246" s="4">
        <v>0.620007227683023</v>
      </c>
      <c r="P246" s="4">
        <v>0.01913358</v>
      </c>
      <c r="Q246" t="s">
        <v>179</v>
      </c>
      <c r="R246" s="3">
        <v>1071.79014983368</v>
      </c>
      <c r="S246" s="4">
        <v>0.475935872067197</v>
      </c>
      <c r="T246" s="4">
        <v>0.637237275203437</v>
      </c>
      <c r="U246" s="4">
        <v>0.0172300475204143</v>
      </c>
      <c r="V246" s="4">
        <v>0.620007227683023</v>
      </c>
      <c r="W246" s="4">
        <v>0.01913358</v>
      </c>
    </row>
    <row r="247" spans="1:23" x14ac:dyDescent="0.25">
      <c r="A247">
        <v>82486</v>
      </c>
      <c r="B247" t="s">
        <v>47</v>
      </c>
      <c r="C247" t="s">
        <v>48</v>
      </c>
      <c r="D247">
        <v>6</v>
      </c>
      <c r="E247" s="1">
        <v>0.0309422193040053</v>
      </c>
      <c r="F247" s="1">
        <v>0.0935465211579292</v>
      </c>
      <c r="G247" s="1">
        <v>1</v>
      </c>
      <c r="H247" s="1">
        <v>1</v>
      </c>
      <c r="I247" s="1">
        <v>1</v>
      </c>
      <c r="J247" t="s">
        <v>179</v>
      </c>
      <c r="K247" s="3">
        <v>5416.12223867035</v>
      </c>
      <c r="L247" s="4">
        <v>0.0595898488755384</v>
      </c>
      <c r="M247" s="4">
        <v>0.927708375721122</v>
      </c>
      <c r="N247" s="4">
        <v>0.0172300475204143</v>
      </c>
      <c r="O247" s="4">
        <v>0.910478328200707</v>
      </c>
      <c r="P247" s="4">
        <v>0.01913358</v>
      </c>
      <c r="Q247" t="s">
        <v>179</v>
      </c>
      <c r="R247" s="3">
        <v>5416.12223867035</v>
      </c>
      <c r="S247" s="4">
        <v>0.0595898488755384</v>
      </c>
      <c r="T247" s="4">
        <v>0.927708375721122</v>
      </c>
      <c r="U247" s="4">
        <v>0.0172300475204143</v>
      </c>
      <c r="V247" s="4">
        <v>0.910478328200707</v>
      </c>
      <c r="W247" s="4">
        <v>0.01913358</v>
      </c>
    </row>
    <row r="248" spans="1:23" x14ac:dyDescent="0.25">
      <c r="A248">
        <v>93089</v>
      </c>
      <c r="B248" t="s">
        <v>37</v>
      </c>
      <c r="C248" t="s">
        <v>38</v>
      </c>
      <c r="D248">
        <v>6</v>
      </c>
      <c r="E248" s="1">
        <v>0.035</v>
      </c>
      <c r="F248" s="1">
        <v>0.175330621804273</v>
      </c>
      <c r="G248" s="1">
        <v>1</v>
      </c>
      <c r="H248" s="1">
        <v>1</v>
      </c>
      <c r="I248" s="1">
        <v>1</v>
      </c>
      <c r="J248" t="s">
        <v>179</v>
      </c>
      <c r="K248" s="3">
        <v>17730.8912594604</v>
      </c>
      <c r="L248" s="4">
        <v>0.0751804330392942</v>
      </c>
      <c r="M248" s="4">
        <v>0.320248119995877</v>
      </c>
      <c r="N248" s="4">
        <v>0.0172300475204143</v>
      </c>
      <c r="O248" s="4">
        <v>0.303018072475462</v>
      </c>
      <c r="P248" s="4">
        <v>0.01913358</v>
      </c>
      <c r="Q248" t="s">
        <v>179</v>
      </c>
      <c r="R248" s="3">
        <v>17730.8912594604</v>
      </c>
      <c r="S248" s="4">
        <v>0.0751804330392942</v>
      </c>
      <c r="T248" s="4">
        <v>0.320248119995877</v>
      </c>
      <c r="U248" s="4">
        <v>0.0172300475204143</v>
      </c>
      <c r="V248" s="4">
        <v>0.303018072475462</v>
      </c>
      <c r="W248" s="4">
        <v>0.01913358</v>
      </c>
    </row>
    <row r="249" spans="1:23" x14ac:dyDescent="0.25">
      <c r="A249">
        <v>16171</v>
      </c>
      <c r="B249" t="s">
        <v>180</v>
      </c>
      <c r="C249" t="s">
        <v>181</v>
      </c>
      <c r="D249">
        <v>6</v>
      </c>
      <c r="E249" s="1">
        <v>0.0264444444444444</v>
      </c>
      <c r="F249" s="1">
        <v>0.0328354615280822</v>
      </c>
      <c r="G249" s="1">
        <v>1</v>
      </c>
      <c r="H249" s="1">
        <v>0.8</v>
      </c>
      <c r="I249" s="1">
        <v>0.9</v>
      </c>
      <c r="J249" t="s">
        <v>179</v>
      </c>
      <c r="K249" s="3">
        <v>1161.33135292053</v>
      </c>
      <c r="L249" s="4">
        <v>0.318899834057127</v>
      </c>
      <c r="M249" s="4">
        <v>0.591186041286354</v>
      </c>
      <c r="N249" s="4">
        <v>0.0172300475204143</v>
      </c>
      <c r="O249" s="4">
        <v>0.57395599376594</v>
      </c>
      <c r="P249" s="4">
        <v>0.01913358</v>
      </c>
      <c r="Q249" t="s">
        <v>179</v>
      </c>
      <c r="R249" s="3">
        <v>1161.33135292053</v>
      </c>
      <c r="S249" s="4">
        <v>0.318899834057127</v>
      </c>
      <c r="T249" s="4">
        <v>0.591186041286354</v>
      </c>
      <c r="U249" s="4">
        <v>0.0172300475204143</v>
      </c>
      <c r="V249" s="4">
        <v>0.57395599376594</v>
      </c>
      <c r="W249" s="4">
        <v>0.01913358</v>
      </c>
    </row>
    <row r="250" spans="1:23" x14ac:dyDescent="0.25">
      <c r="A250">
        <v>38093</v>
      </c>
      <c r="B250" t="s">
        <v>25</v>
      </c>
      <c r="C250" t="s">
        <v>26</v>
      </c>
      <c r="D250">
        <v>6</v>
      </c>
      <c r="E250" s="1">
        <v>0.0406131479140329</v>
      </c>
      <c r="F250" s="1">
        <v>0.0871199969863491</v>
      </c>
      <c r="G250" s="1">
        <v>0.8</v>
      </c>
      <c r="H250" s="1">
        <v>1</v>
      </c>
      <c r="I250" s="1">
        <v>0.9</v>
      </c>
      <c r="J250" t="s">
        <v>179</v>
      </c>
      <c r="K250" s="3">
        <v>11898.7812174988</v>
      </c>
      <c r="L250" s="4">
        <v>0.100950882962751</v>
      </c>
      <c r="M250" s="4">
        <v>0.291351092466504</v>
      </c>
      <c r="N250" s="4">
        <v>0.0172300475204143</v>
      </c>
      <c r="O250" s="4">
        <v>0.27412104494609</v>
      </c>
      <c r="P250" s="4">
        <v>0.01913358</v>
      </c>
      <c r="Q250" t="s">
        <v>179</v>
      </c>
      <c r="R250" s="3">
        <v>11898.7812174988</v>
      </c>
      <c r="S250" s="4">
        <v>0.100950882962751</v>
      </c>
      <c r="T250" s="4">
        <v>0.291351092466504</v>
      </c>
      <c r="U250" s="4">
        <v>0.0172300475204143</v>
      </c>
      <c r="V250" s="4">
        <v>0.27412104494609</v>
      </c>
      <c r="W250" s="4">
        <v>0.01913358</v>
      </c>
    </row>
    <row r="251" spans="1:23" x14ac:dyDescent="0.25">
      <c r="A251">
        <v>90272</v>
      </c>
      <c r="B251" t="s">
        <v>55</v>
      </c>
      <c r="C251" t="s">
        <v>56</v>
      </c>
      <c r="D251">
        <v>6</v>
      </c>
      <c r="E251" s="1">
        <v>0.0417681865645667</v>
      </c>
      <c r="F251" s="1">
        <v>0.12694583176642</v>
      </c>
      <c r="G251" s="1">
        <v>0.8</v>
      </c>
      <c r="H251" s="1">
        <v>1</v>
      </c>
      <c r="I251" s="1">
        <v>0.9</v>
      </c>
      <c r="J251" t="s">
        <v>179</v>
      </c>
      <c r="K251" s="3">
        <v>11020.4714458466</v>
      </c>
      <c r="L251" s="4">
        <v>0.194569118710973</v>
      </c>
      <c r="M251" s="4">
        <v>0.245951211517391</v>
      </c>
      <c r="N251" s="4">
        <v>0.0172300475204143</v>
      </c>
      <c r="O251" s="4">
        <v>0.228721163996977</v>
      </c>
      <c r="P251" s="4">
        <v>0.01913358</v>
      </c>
      <c r="Q251" t="s">
        <v>179</v>
      </c>
      <c r="R251" s="3">
        <v>11020.4714458466</v>
      </c>
      <c r="S251" s="4">
        <v>0.194569118710973</v>
      </c>
      <c r="T251" s="4">
        <v>0.245951211517391</v>
      </c>
      <c r="U251" s="4">
        <v>0.0172300475204143</v>
      </c>
      <c r="V251" s="4">
        <v>0.228721163996977</v>
      </c>
      <c r="W251" s="4">
        <v>0.01913358</v>
      </c>
    </row>
    <row r="252" spans="1:23" x14ac:dyDescent="0.25">
      <c r="A252">
        <v>13712</v>
      </c>
      <c r="B252" t="s">
        <v>145</v>
      </c>
      <c r="C252" t="s">
        <v>146</v>
      </c>
      <c r="D252">
        <v>6</v>
      </c>
      <c r="E252" s="1">
        <v>0.0156521739130435</v>
      </c>
      <c r="F252" s="1">
        <v>-0.0108297474176762</v>
      </c>
      <c r="G252" s="1">
        <v>1</v>
      </c>
      <c r="H252" s="1">
        <v>0.6</v>
      </c>
      <c r="I252" s="1">
        <v>0.8</v>
      </c>
      <c r="J252" t="s">
        <v>179</v>
      </c>
      <c r="K252" s="3">
        <v>838.454756732941</v>
      </c>
      <c r="L252" s="4">
        <v>0.343455473736289</v>
      </c>
      <c r="M252" s="4">
        <v>-0.339178467474536</v>
      </c>
      <c r="N252" s="4">
        <v>0.0172300475204143</v>
      </c>
      <c r="O252" s="4">
        <v>-0.356408514994951</v>
      </c>
      <c r="P252" s="4">
        <v>0.01913358</v>
      </c>
      <c r="Q252" t="s">
        <v>179</v>
      </c>
      <c r="R252" s="3">
        <v>838.454756732941</v>
      </c>
      <c r="S252" s="4">
        <v>0.343455473736289</v>
      </c>
      <c r="T252" s="4">
        <v>-0.339178467474536</v>
      </c>
      <c r="U252" s="4">
        <v>0.0172300475204143</v>
      </c>
      <c r="V252" s="4">
        <v>-0.356408514994951</v>
      </c>
      <c r="W252" s="4">
        <v>0.01913358</v>
      </c>
    </row>
    <row r="253" spans="1:23" x14ac:dyDescent="0.25">
      <c r="A253">
        <v>52936</v>
      </c>
      <c r="B253" t="s">
        <v>29</v>
      </c>
      <c r="C253" t="s">
        <v>30</v>
      </c>
      <c r="D253">
        <v>6</v>
      </c>
      <c r="E253" s="1">
        <v>0.0490269461077844</v>
      </c>
      <c r="F253" s="1">
        <v>0.0803918983803046</v>
      </c>
      <c r="G253" s="1">
        <v>0.8</v>
      </c>
      <c r="H253" s="1">
        <v>0.8</v>
      </c>
      <c r="I253" s="1">
        <v>0.8</v>
      </c>
      <c r="J253" t="s">
        <v>179</v>
      </c>
      <c r="K253" s="3">
        <v>2520.92599598694</v>
      </c>
      <c r="L253" s="4">
        <v>0.0604703126050483</v>
      </c>
      <c r="M253" s="4">
        <v>0.287148831906388</v>
      </c>
      <c r="N253" s="4">
        <v>0.0172300475204143</v>
      </c>
      <c r="O253" s="4">
        <v>0.269918784385974</v>
      </c>
      <c r="P253" s="4">
        <v>0.01913358</v>
      </c>
      <c r="Q253" t="s">
        <v>179</v>
      </c>
      <c r="R253" s="3">
        <v>2520.92599598694</v>
      </c>
      <c r="S253" s="4">
        <v>0.0604703126050483</v>
      </c>
      <c r="T253" s="4">
        <v>0.287148831906388</v>
      </c>
      <c r="U253" s="4">
        <v>0.0172300475204143</v>
      </c>
      <c r="V253" s="4">
        <v>0.269918784385974</v>
      </c>
      <c r="W253" s="4">
        <v>0.01913358</v>
      </c>
    </row>
    <row r="254" spans="1:23" x14ac:dyDescent="0.25">
      <c r="A254">
        <v>64390</v>
      </c>
      <c r="B254" t="s">
        <v>16</v>
      </c>
      <c r="C254" t="s">
        <v>17</v>
      </c>
      <c r="D254">
        <v>6</v>
      </c>
      <c r="E254" s="1">
        <v>0.0486505681818182</v>
      </c>
      <c r="F254" s="1">
        <v>0.0414519144358576</v>
      </c>
      <c r="G254" s="1">
        <v>0.8</v>
      </c>
      <c r="H254" s="1">
        <v>0.8</v>
      </c>
      <c r="I254" s="1">
        <v>0.8</v>
      </c>
      <c r="J254" t="s">
        <v>179</v>
      </c>
      <c r="K254" s="3">
        <v>34447.5412886353</v>
      </c>
      <c r="L254" s="4">
        <v>0.145084424402367</v>
      </c>
      <c r="M254" s="4">
        <v>0.322579491293369</v>
      </c>
      <c r="N254" s="4">
        <v>0.0172300475204143</v>
      </c>
      <c r="O254" s="4">
        <v>0.305349443772955</v>
      </c>
      <c r="P254" s="4">
        <v>0.01913358</v>
      </c>
      <c r="Q254" t="s">
        <v>179</v>
      </c>
      <c r="R254" s="3">
        <v>34447.5412886353</v>
      </c>
      <c r="S254" s="4">
        <v>0.145084424402367</v>
      </c>
      <c r="T254" s="4">
        <v>0.322579491293369</v>
      </c>
      <c r="U254" s="4">
        <v>0.0172300475204143</v>
      </c>
      <c r="V254" s="4">
        <v>0.305349443772955</v>
      </c>
      <c r="W254" s="4">
        <v>0.01913358</v>
      </c>
    </row>
    <row r="255" spans="1:23" x14ac:dyDescent="0.25">
      <c r="A255">
        <v>71271</v>
      </c>
      <c r="B255" t="s">
        <v>93</v>
      </c>
      <c r="C255" t="s">
        <v>94</v>
      </c>
      <c r="D255">
        <v>6</v>
      </c>
      <c r="E255" s="1">
        <v>0.00981395426865071</v>
      </c>
      <c r="F255" s="1">
        <v>-0.0216814158841283</v>
      </c>
      <c r="G255" s="1">
        <v>1</v>
      </c>
      <c r="H255" s="1">
        <v>0.6</v>
      </c>
      <c r="I255" s="1">
        <v>0.8</v>
      </c>
      <c r="J255" t="s">
        <v>179</v>
      </c>
      <c r="K255" s="3">
        <v>8791.29085205078</v>
      </c>
      <c r="L255" s="4">
        <v>0.0545989594647024</v>
      </c>
      <c r="M255" s="4">
        <v>0.162542039138059</v>
      </c>
      <c r="N255" s="4">
        <v>0.0172300475204143</v>
      </c>
      <c r="O255" s="4">
        <v>0.145311991617645</v>
      </c>
      <c r="P255" s="4">
        <v>0.01913358</v>
      </c>
      <c r="Q255" t="s">
        <v>179</v>
      </c>
      <c r="R255" s="3">
        <v>8791.29085205078</v>
      </c>
      <c r="S255" s="4">
        <v>0.0545989594647024</v>
      </c>
      <c r="T255" s="4">
        <v>0.162542039138059</v>
      </c>
      <c r="U255" s="4">
        <v>0.0172300475204143</v>
      </c>
      <c r="V255" s="4">
        <v>0.145311991617645</v>
      </c>
      <c r="W255" s="4">
        <v>0.01913358</v>
      </c>
    </row>
    <row r="256" spans="1:23" x14ac:dyDescent="0.25">
      <c r="A256">
        <v>76136</v>
      </c>
      <c r="B256" t="s">
        <v>59</v>
      </c>
      <c r="C256" t="s">
        <v>60</v>
      </c>
      <c r="D256">
        <v>6</v>
      </c>
      <c r="E256" s="1">
        <v>0.0336719883889695</v>
      </c>
      <c r="F256" s="1">
        <v>0.0152034787086012</v>
      </c>
      <c r="G256" s="1">
        <v>1</v>
      </c>
      <c r="H256" s="1">
        <v>0.6</v>
      </c>
      <c r="I256" s="1">
        <v>0.8</v>
      </c>
      <c r="J256" t="s">
        <v>179</v>
      </c>
      <c r="K256" s="3">
        <v>3898.77412863922</v>
      </c>
      <c r="L256" s="4">
        <v>0.0732580337257397</v>
      </c>
      <c r="M256" s="4">
        <v>0.0845812975994615</v>
      </c>
      <c r="N256" s="4">
        <v>0.0172300475204143</v>
      </c>
      <c r="O256" s="4">
        <v>0.0673512500790472</v>
      </c>
      <c r="P256" s="4">
        <v>0.01913358</v>
      </c>
      <c r="Q256" t="s">
        <v>179</v>
      </c>
      <c r="R256" s="3">
        <v>3898.77412863922</v>
      </c>
      <c r="S256" s="4">
        <v>0.0732580337257397</v>
      </c>
      <c r="T256" s="4">
        <v>0.0845812975994615</v>
      </c>
      <c r="U256" s="4">
        <v>0.0172300475204143</v>
      </c>
      <c r="V256" s="4">
        <v>0.0673512500790472</v>
      </c>
      <c r="W256" s="4">
        <v>0.01913358</v>
      </c>
    </row>
    <row r="257" spans="1:23" x14ac:dyDescent="0.25">
      <c r="A257">
        <v>76838</v>
      </c>
      <c r="B257" t="s">
        <v>130</v>
      </c>
      <c r="C257" t="s">
        <v>131</v>
      </c>
      <c r="D257">
        <v>6</v>
      </c>
      <c r="E257" s="1">
        <v>0.0351706036745407</v>
      </c>
      <c r="F257" s="1">
        <v>-0.00370877366542466</v>
      </c>
      <c r="G257" s="1">
        <v>1</v>
      </c>
      <c r="H257" s="1">
        <v>0.6</v>
      </c>
      <c r="I257" s="1">
        <v>0.8</v>
      </c>
      <c r="J257" t="s">
        <v>179</v>
      </c>
      <c r="K257" s="3">
        <v>1899.90734088898</v>
      </c>
      <c r="L257" s="4">
        <v>-0.0106852242527193</v>
      </c>
      <c r="M257" s="4">
        <v>0.0210128149403852</v>
      </c>
      <c r="N257" s="4">
        <v>0.0172300475204143</v>
      </c>
      <c r="O257" s="4">
        <v>0.00378276741997086</v>
      </c>
      <c r="P257" s="4">
        <v>0.01913358</v>
      </c>
      <c r="Q257" t="s">
        <v>179</v>
      </c>
      <c r="R257" s="3">
        <v>1899.90734088898</v>
      </c>
      <c r="S257" s="4">
        <v>-0.0106852242527193</v>
      </c>
      <c r="T257" s="4">
        <v>0.0210128149403852</v>
      </c>
      <c r="U257" s="4">
        <v>0.0172300475204143</v>
      </c>
      <c r="V257" s="4">
        <v>0.00378276741997086</v>
      </c>
      <c r="W257" s="4">
        <v>0.01913358</v>
      </c>
    </row>
    <row r="258" spans="1:23" x14ac:dyDescent="0.25">
      <c r="A258">
        <v>78038</v>
      </c>
      <c r="B258" t="s">
        <v>109</v>
      </c>
      <c r="C258" t="s">
        <v>110</v>
      </c>
      <c r="D258">
        <v>6</v>
      </c>
      <c r="E258" s="1">
        <v>0.027171276079573</v>
      </c>
      <c r="F258" s="1">
        <v>0.00529477461954941</v>
      </c>
      <c r="G258" s="1">
        <v>1</v>
      </c>
      <c r="H258" s="1">
        <v>0.6</v>
      </c>
      <c r="I258" s="1">
        <v>0.8</v>
      </c>
      <c r="J258" t="s">
        <v>179</v>
      </c>
      <c r="K258" s="3">
        <v>3481.15247263145</v>
      </c>
      <c r="L258" s="4">
        <v>-0.0135822785218966</v>
      </c>
      <c r="M258" s="4">
        <v>0.412645964852084</v>
      </c>
      <c r="N258" s="4">
        <v>0.0172300475204143</v>
      </c>
      <c r="O258" s="4">
        <v>0.39541591733167</v>
      </c>
      <c r="P258" s="4">
        <v>0.01913358</v>
      </c>
      <c r="Q258" t="s">
        <v>179</v>
      </c>
      <c r="R258" s="3">
        <v>3481.15247263145</v>
      </c>
      <c r="S258" s="4">
        <v>-0.0135822785218966</v>
      </c>
      <c r="T258" s="4">
        <v>0.412645964852084</v>
      </c>
      <c r="U258" s="4">
        <v>0.0172300475204143</v>
      </c>
      <c r="V258" s="4">
        <v>0.39541591733167</v>
      </c>
      <c r="W258" s="4">
        <v>0.01913358</v>
      </c>
    </row>
    <row r="259" spans="1:23" x14ac:dyDescent="0.25">
      <c r="A259">
        <v>78156</v>
      </c>
      <c r="B259" t="s">
        <v>116</v>
      </c>
      <c r="C259" t="s">
        <v>117</v>
      </c>
      <c r="D259">
        <v>6</v>
      </c>
      <c r="E259" s="1">
        <v>0.0283185840707965</v>
      </c>
      <c r="F259" s="1">
        <v>0.0169614014257061</v>
      </c>
      <c r="G259" s="1">
        <v>1</v>
      </c>
      <c r="H259" s="1">
        <v>0.6</v>
      </c>
      <c r="I259" s="1">
        <v>0.8</v>
      </c>
      <c r="J259" t="s">
        <v>179</v>
      </c>
      <c r="K259" s="3">
        <v>1802.84862998199</v>
      </c>
      <c r="L259" s="4">
        <v>0.0508094594867039</v>
      </c>
      <c r="M259" s="4">
        <v>0.406842409129529</v>
      </c>
      <c r="N259" s="4">
        <v>0.0172300475204143</v>
      </c>
      <c r="O259" s="4">
        <v>0.389612361609114</v>
      </c>
      <c r="P259" s="4">
        <v>0.01913358</v>
      </c>
      <c r="Q259" t="s">
        <v>179</v>
      </c>
      <c r="R259" s="3">
        <v>1802.84862998199</v>
      </c>
      <c r="S259" s="4">
        <v>0.0508094594867039</v>
      </c>
      <c r="T259" s="4">
        <v>0.406842409129529</v>
      </c>
      <c r="U259" s="4">
        <v>0.0172300475204143</v>
      </c>
      <c r="V259" s="4">
        <v>0.389612361609114</v>
      </c>
      <c r="W259" s="4">
        <v>0.01913358</v>
      </c>
    </row>
    <row r="260" spans="1:23" x14ac:dyDescent="0.25">
      <c r="A260">
        <v>89179</v>
      </c>
      <c r="B260" t="s">
        <v>118</v>
      </c>
      <c r="C260" t="s">
        <v>119</v>
      </c>
      <c r="D260">
        <v>6</v>
      </c>
      <c r="E260" s="1">
        <v>0.0653304297586774</v>
      </c>
      <c r="F260" s="1">
        <v>0.131070367933161</v>
      </c>
      <c r="G260" s="1">
        <v>0.6</v>
      </c>
      <c r="H260" s="1">
        <v>1</v>
      </c>
      <c r="I260" s="1">
        <v>0.8</v>
      </c>
      <c r="J260" t="s">
        <v>179</v>
      </c>
      <c r="K260" s="3">
        <v>60745.0176584778</v>
      </c>
      <c r="L260" s="4">
        <v>0.0609971365612811</v>
      </c>
      <c r="M260" s="4">
        <v>0.269981331573267</v>
      </c>
      <c r="N260" s="4">
        <v>0.0172300475204143</v>
      </c>
      <c r="O260" s="4">
        <v>0.252751284052853</v>
      </c>
      <c r="P260" s="4">
        <v>0.01913358</v>
      </c>
      <c r="Q260" t="s">
        <v>179</v>
      </c>
      <c r="R260" s="3">
        <v>60745.0176584778</v>
      </c>
      <c r="S260" s="4">
        <v>0.0609971365612811</v>
      </c>
      <c r="T260" s="4">
        <v>0.269981331573267</v>
      </c>
      <c r="U260" s="4">
        <v>0.0172300475204143</v>
      </c>
      <c r="V260" s="4">
        <v>0.252751284052853</v>
      </c>
      <c r="W260" s="4">
        <v>0.01913358</v>
      </c>
    </row>
    <row r="261" spans="1:23" x14ac:dyDescent="0.25">
      <c r="A261">
        <v>90963</v>
      </c>
      <c r="B261" t="s">
        <v>159</v>
      </c>
      <c r="C261" t="s">
        <v>160</v>
      </c>
      <c r="D261">
        <v>6</v>
      </c>
      <c r="E261" s="1">
        <v>0.0391233766233766</v>
      </c>
      <c r="F261" s="1">
        <v>0.0643918191581452</v>
      </c>
      <c r="G261" s="1">
        <v>0.8</v>
      </c>
      <c r="H261" s="1">
        <v>0.8</v>
      </c>
      <c r="I261" s="1">
        <v>0.8</v>
      </c>
      <c r="J261" t="s">
        <v>179</v>
      </c>
      <c r="K261" s="3">
        <v>1112.8425</v>
      </c>
      <c r="L261" s="4">
        <v>-0.0540863505957212</v>
      </c>
      <c r="M261" s="4">
        <v>0.0765504610439802</v>
      </c>
      <c r="N261" s="4">
        <v>0.0172300475204143</v>
      </c>
      <c r="O261" s="4">
        <v>0.0593204135235659</v>
      </c>
      <c r="P261" s="4">
        <v>0.01913358</v>
      </c>
      <c r="Q261" t="s">
        <v>179</v>
      </c>
      <c r="R261" s="3">
        <v>1112.8425</v>
      </c>
      <c r="S261" s="4">
        <v>-0.0540863505957212</v>
      </c>
      <c r="T261" s="4">
        <v>0.0765504610439802</v>
      </c>
      <c r="U261" s="4">
        <v>0.0172300475204143</v>
      </c>
      <c r="V261" s="4">
        <v>0.0593204135235659</v>
      </c>
      <c r="W261" s="4">
        <v>0.01913358</v>
      </c>
    </row>
    <row r="262" spans="1:23" x14ac:dyDescent="0.25">
      <c r="A262">
        <v>92655</v>
      </c>
      <c r="B262" t="s">
        <v>91</v>
      </c>
      <c r="C262" t="s">
        <v>92</v>
      </c>
      <c r="D262">
        <v>6</v>
      </c>
      <c r="E262" s="1">
        <v>0.0496688741721854</v>
      </c>
      <c r="F262" s="1">
        <v>0.239823563026935</v>
      </c>
      <c r="G262" s="1">
        <v>0.6</v>
      </c>
      <c r="H262" s="1">
        <v>1</v>
      </c>
      <c r="I262" s="1">
        <v>0.8</v>
      </c>
      <c r="J262" t="s">
        <v>179</v>
      </c>
      <c r="K262" s="3">
        <v>235767.075020782</v>
      </c>
      <c r="L262" s="4">
        <v>0.0882871672798096</v>
      </c>
      <c r="M262" s="4">
        <v>0.0151799948412647</v>
      </c>
      <c r="N262" s="4">
        <v>0.0172300475204143</v>
      </c>
      <c r="O262" s="4">
        <v>-0.00205005267914959</v>
      </c>
      <c r="P262" s="4">
        <v>0.01913358</v>
      </c>
      <c r="Q262" t="s">
        <v>179</v>
      </c>
      <c r="R262" s="3">
        <v>235767.075020782</v>
      </c>
      <c r="S262" s="4">
        <v>0.0882871672798096</v>
      </c>
      <c r="T262" s="4">
        <v>0.0151799948412647</v>
      </c>
      <c r="U262" s="4">
        <v>0.0172300475204143</v>
      </c>
      <c r="V262" s="4">
        <v>-0.00205005267914959</v>
      </c>
      <c r="W262" s="4">
        <v>0.01913358</v>
      </c>
    </row>
    <row r="263" spans="1:23" x14ac:dyDescent="0.25">
      <c r="A263">
        <v>10933</v>
      </c>
      <c r="B263" t="s">
        <v>57</v>
      </c>
      <c r="C263" t="s">
        <v>58</v>
      </c>
      <c r="D263">
        <v>6</v>
      </c>
      <c r="E263" s="1">
        <v>0.0227278712701799</v>
      </c>
      <c r="F263" s="1">
        <v>-0.101759613523418</v>
      </c>
      <c r="G263" s="1">
        <v>1</v>
      </c>
      <c r="H263" s="1">
        <v>0.4</v>
      </c>
      <c r="I263" s="1">
        <v>0.7</v>
      </c>
      <c r="J263" t="s">
        <v>179</v>
      </c>
      <c r="K263" s="3">
        <v>15064.8742108154</v>
      </c>
      <c r="L263" s="4">
        <v>0.0794639024586926</v>
      </c>
      <c r="M263" s="4">
        <v>-0.0348287860916182</v>
      </c>
      <c r="N263" s="4">
        <v>0.0172300475204143</v>
      </c>
      <c r="O263" s="4">
        <v>-0.0520588336120326</v>
      </c>
      <c r="P263" s="4">
        <v>0.01913358</v>
      </c>
      <c r="Q263" t="s">
        <v>179</v>
      </c>
      <c r="R263" s="3">
        <v>15064.8742108154</v>
      </c>
      <c r="S263" s="4">
        <v>0.0794639024586926</v>
      </c>
      <c r="T263" s="4">
        <v>-0.0348287860916182</v>
      </c>
      <c r="U263" s="4">
        <v>0.0172300475204143</v>
      </c>
      <c r="V263" s="4">
        <v>-0.0520588336120326</v>
      </c>
      <c r="W263" s="4">
        <v>0.01913358</v>
      </c>
    </row>
    <row r="264" spans="1:23" x14ac:dyDescent="0.25">
      <c r="A264">
        <v>31238</v>
      </c>
      <c r="B264" t="s">
        <v>149</v>
      </c>
      <c r="C264" t="s">
        <v>150</v>
      </c>
      <c r="D264">
        <v>6</v>
      </c>
      <c r="E264" s="1">
        <v>0.0641338445451377</v>
      </c>
      <c r="F264" s="1">
        <v>0.0667422814551358</v>
      </c>
      <c r="G264" s="1">
        <v>0.6</v>
      </c>
      <c r="H264" s="1">
        <v>0.8</v>
      </c>
      <c r="I264" s="1">
        <v>0.7</v>
      </c>
      <c r="J264" t="s">
        <v>179</v>
      </c>
      <c r="K264" s="3">
        <v>597.992294780731</v>
      </c>
      <c r="L264" s="4">
        <v>0.0245382213279929</v>
      </c>
      <c r="M264" s="4">
        <v>0.432488443354735</v>
      </c>
      <c r="N264" s="4">
        <v>0.0172300475204143</v>
      </c>
      <c r="O264" s="4">
        <v>0.41525839583432</v>
      </c>
      <c r="P264" s="4">
        <v>0.01913358</v>
      </c>
      <c r="Q264" t="s">
        <v>179</v>
      </c>
      <c r="R264" s="3">
        <v>597.992294780731</v>
      </c>
      <c r="S264" s="4">
        <v>0.0245382213279929</v>
      </c>
      <c r="T264" s="4">
        <v>0.432488443354735</v>
      </c>
      <c r="U264" s="4">
        <v>0.0172300475204143</v>
      </c>
      <c r="V264" s="4">
        <v>0.41525839583432</v>
      </c>
      <c r="W264" s="4">
        <v>0.01913358</v>
      </c>
    </row>
    <row r="265" spans="1:23" x14ac:dyDescent="0.25">
      <c r="A265">
        <v>33770</v>
      </c>
      <c r="B265" t="s">
        <v>182</v>
      </c>
      <c r="C265" t="s">
        <v>183</v>
      </c>
      <c r="D265">
        <v>6</v>
      </c>
      <c r="E265" s="1">
        <v>0.051063829787234</v>
      </c>
      <c r="F265" s="1">
        <v>0.0590103786453846</v>
      </c>
      <c r="G265" s="1">
        <v>0.6</v>
      </c>
      <c r="H265" s="1">
        <v>0.8</v>
      </c>
      <c r="I265" s="1">
        <v>0.7</v>
      </c>
      <c r="J265" t="s">
        <v>179</v>
      </c>
      <c r="K265" s="3">
        <v>180.170895933151</v>
      </c>
      <c r="L265" s="4">
        <v>0.197993207381484</v>
      </c>
      <c r="M265" s="4">
        <v>-0.473903506114448</v>
      </c>
      <c r="N265" s="4">
        <v>0.0172300475204143</v>
      </c>
      <c r="O265" s="4">
        <v>-0.491133553634862</v>
      </c>
      <c r="P265" s="4">
        <v>0.01913358</v>
      </c>
      <c r="Q265" t="s">
        <v>179</v>
      </c>
      <c r="R265" s="3">
        <v>180.170895933151</v>
      </c>
      <c r="S265" s="4">
        <v>0.197993207381484</v>
      </c>
      <c r="T265" s="4">
        <v>-0.473903506114448</v>
      </c>
      <c r="U265" s="4">
        <v>0.0172300475204143</v>
      </c>
      <c r="V265" s="4">
        <v>-0.491133553634862</v>
      </c>
      <c r="W265" s="4">
        <v>0.01913358</v>
      </c>
    </row>
    <row r="266" spans="1:23" x14ac:dyDescent="0.25">
      <c r="A266">
        <v>48653</v>
      </c>
      <c r="B266" t="s">
        <v>39</v>
      </c>
      <c r="C266" t="s">
        <v>40</v>
      </c>
      <c r="D266">
        <v>6</v>
      </c>
      <c r="E266" s="1">
        <v>0.0682871770064901</v>
      </c>
      <c r="F266" s="1">
        <v>0.388170668478317</v>
      </c>
      <c r="G266" s="1">
        <v>0.4</v>
      </c>
      <c r="H266" s="1">
        <v>1</v>
      </c>
      <c r="I266" s="1">
        <v>0.7</v>
      </c>
      <c r="J266" t="s">
        <v>179</v>
      </c>
      <c r="K266" s="3">
        <v>40978.2943322754</v>
      </c>
      <c r="L266" s="4">
        <v>-0.0218451904172431</v>
      </c>
      <c r="M266" s="4">
        <v>-0.152618413758576</v>
      </c>
      <c r="N266" s="4">
        <v>0.0172300475204143</v>
      </c>
      <c r="O266" s="4">
        <v>-0.169848461278991</v>
      </c>
      <c r="P266" s="4">
        <v>0.01913358</v>
      </c>
      <c r="Q266" t="s">
        <v>179</v>
      </c>
      <c r="R266" s="3">
        <v>40978.2943322754</v>
      </c>
      <c r="S266" s="4">
        <v>-0.0218451904172431</v>
      </c>
      <c r="T266" s="4">
        <v>-0.152618413758576</v>
      </c>
      <c r="U266" s="4">
        <v>0.0172300475204143</v>
      </c>
      <c r="V266" s="4">
        <v>-0.169848461278991</v>
      </c>
      <c r="W266" s="4">
        <v>0.01913358</v>
      </c>
    </row>
    <row r="267" spans="1:23" x14ac:dyDescent="0.25">
      <c r="A267">
        <v>72980</v>
      </c>
      <c r="B267" t="s">
        <v>151</v>
      </c>
      <c r="C267" t="s">
        <v>152</v>
      </c>
      <c r="D267">
        <v>6</v>
      </c>
      <c r="E267" s="1">
        <v>0.0491725768321513</v>
      </c>
      <c r="F267" s="1">
        <v>0.0628577299608117</v>
      </c>
      <c r="G267" s="1">
        <v>0.6</v>
      </c>
      <c r="H267" s="1">
        <v>0.8</v>
      </c>
      <c r="I267" s="1">
        <v>0.7</v>
      </c>
      <c r="J267" t="s">
        <v>179</v>
      </c>
      <c r="K267" s="3">
        <v>1022.13723275757</v>
      </c>
      <c r="L267" s="4">
        <v>-0.0261685037172868</v>
      </c>
      <c r="M267" s="4">
        <v>0.00236480995133248</v>
      </c>
      <c r="N267" s="4">
        <v>0.0172300475204143</v>
      </c>
      <c r="O267" s="4">
        <v>-0.0148652375690819</v>
      </c>
      <c r="P267" s="4">
        <v>0.01913358</v>
      </c>
      <c r="Q267" t="s">
        <v>179</v>
      </c>
      <c r="R267" s="3">
        <v>1022.13723275757</v>
      </c>
      <c r="S267" s="4">
        <v>-0.0261685037172868</v>
      </c>
      <c r="T267" s="4">
        <v>0.00236480995133248</v>
      </c>
      <c r="U267" s="4">
        <v>0.0172300475204143</v>
      </c>
      <c r="V267" s="4">
        <v>-0.0148652375690819</v>
      </c>
      <c r="W267" s="4">
        <v>0.01913358</v>
      </c>
    </row>
    <row r="268" spans="1:23" x14ac:dyDescent="0.25">
      <c r="A268">
        <v>79323</v>
      </c>
      <c r="B268" t="s">
        <v>45</v>
      </c>
      <c r="C268" t="s">
        <v>46</v>
      </c>
      <c r="D268">
        <v>6</v>
      </c>
      <c r="E268" s="1">
        <v>0.0810810810810811</v>
      </c>
      <c r="F268" s="1">
        <v>0.278374606396934</v>
      </c>
      <c r="G268" s="1">
        <v>0.4</v>
      </c>
      <c r="H268" s="1">
        <v>1</v>
      </c>
      <c r="I268" s="1">
        <v>0.7</v>
      </c>
      <c r="J268" t="s">
        <v>179</v>
      </c>
      <c r="K268" s="3">
        <v>32080.3998500748</v>
      </c>
      <c r="L268" s="4">
        <v>0.0472209920283437</v>
      </c>
      <c r="M268" s="4">
        <v>0.0425778522479894</v>
      </c>
      <c r="N268" s="4">
        <v>0.0172300475204143</v>
      </c>
      <c r="O268" s="4">
        <v>0.025347804727575</v>
      </c>
      <c r="P268" s="4">
        <v>0.01913358</v>
      </c>
      <c r="Q268" t="s">
        <v>179</v>
      </c>
      <c r="R268" s="3">
        <v>32080.3998500748</v>
      </c>
      <c r="S268" s="4">
        <v>0.0472209920283437</v>
      </c>
      <c r="T268" s="4">
        <v>0.0425778522479894</v>
      </c>
      <c r="U268" s="4">
        <v>0.0172300475204143</v>
      </c>
      <c r="V268" s="4">
        <v>0.025347804727575</v>
      </c>
      <c r="W268" s="4">
        <v>0.01913358</v>
      </c>
    </row>
    <row r="269" spans="1:23" x14ac:dyDescent="0.25">
      <c r="A269">
        <v>82292</v>
      </c>
      <c r="B269" t="s">
        <v>19</v>
      </c>
      <c r="C269" t="s">
        <v>20</v>
      </c>
      <c r="D269">
        <v>6</v>
      </c>
      <c r="E269" s="1">
        <v>0.0442264988897113</v>
      </c>
      <c r="F269" s="1">
        <v>-0.0132664271794186</v>
      </c>
      <c r="G269" s="1">
        <v>0.8</v>
      </c>
      <c r="H269" s="1">
        <v>0.6</v>
      </c>
      <c r="I269" s="1">
        <v>0.7</v>
      </c>
      <c r="J269" t="s">
        <v>179</v>
      </c>
      <c r="K269" s="3">
        <v>5085.84317614746</v>
      </c>
      <c r="L269" s="4">
        <v>0.0482429536172104</v>
      </c>
      <c r="M269" s="4">
        <v>0.0699460740755145</v>
      </c>
      <c r="N269" s="4">
        <v>0.0172300475204143</v>
      </c>
      <c r="O269" s="4">
        <v>0.0527160265551001</v>
      </c>
      <c r="P269" s="4">
        <v>0.01913358</v>
      </c>
      <c r="Q269" t="s">
        <v>179</v>
      </c>
      <c r="R269" s="3">
        <v>5085.84317614746</v>
      </c>
      <c r="S269" s="4">
        <v>0.0482429536172104</v>
      </c>
      <c r="T269" s="4">
        <v>0.0699460740755145</v>
      </c>
      <c r="U269" s="4">
        <v>0.0172300475204143</v>
      </c>
      <c r="V269" s="4">
        <v>0.0527160265551001</v>
      </c>
      <c r="W269" s="4">
        <v>0.01913358</v>
      </c>
    </row>
    <row r="270" spans="1:23" x14ac:dyDescent="0.25">
      <c r="A270">
        <v>87212</v>
      </c>
      <c r="B270" t="s">
        <v>49</v>
      </c>
      <c r="C270" t="s">
        <v>50</v>
      </c>
      <c r="D270">
        <v>6</v>
      </c>
      <c r="E270" s="1">
        <v>0.0373760488176964</v>
      </c>
      <c r="F270" s="1">
        <v>0.0124401604530812</v>
      </c>
      <c r="G270" s="1">
        <v>0.8</v>
      </c>
      <c r="H270" s="1">
        <v>0.6</v>
      </c>
      <c r="I270" s="1">
        <v>0.7</v>
      </c>
      <c r="J270" t="s">
        <v>179</v>
      </c>
      <c r="K270" s="3">
        <v>35637.9049682522</v>
      </c>
      <c r="L270" s="4">
        <v>0.0956472715254962</v>
      </c>
      <c r="M270" s="4">
        <v>-0.0693144727610223</v>
      </c>
      <c r="N270" s="4">
        <v>0.0172300475204143</v>
      </c>
      <c r="O270" s="4">
        <v>-0.0865445202814367</v>
      </c>
      <c r="P270" s="4">
        <v>0.01913358</v>
      </c>
      <c r="Q270" t="s">
        <v>179</v>
      </c>
      <c r="R270" s="3">
        <v>35637.9049682522</v>
      </c>
      <c r="S270" s="4">
        <v>0.0956472715254962</v>
      </c>
      <c r="T270" s="4">
        <v>-0.0693144727610223</v>
      </c>
      <c r="U270" s="4">
        <v>0.0172300475204143</v>
      </c>
      <c r="V270" s="4">
        <v>-0.0865445202814367</v>
      </c>
      <c r="W270" s="4">
        <v>0.01913358</v>
      </c>
    </row>
    <row r="271" spans="1:23" x14ac:dyDescent="0.25">
      <c r="A271">
        <v>89841</v>
      </c>
      <c r="B271" t="s">
        <v>126</v>
      </c>
      <c r="C271" t="s">
        <v>127</v>
      </c>
      <c r="D271">
        <v>6</v>
      </c>
      <c r="E271" s="1">
        <v>0.0417172944511948</v>
      </c>
      <c r="F271" s="1">
        <v>0.00421574189258578</v>
      </c>
      <c r="G271" s="1">
        <v>0.8</v>
      </c>
      <c r="H271" s="1">
        <v>0.6</v>
      </c>
      <c r="I271" s="1">
        <v>0.7</v>
      </c>
      <c r="J271" t="s">
        <v>179</v>
      </c>
      <c r="K271" s="3">
        <v>3186.45839321899</v>
      </c>
      <c r="L271" s="4">
        <v>0.0783167298185742</v>
      </c>
      <c r="M271" s="4">
        <v>-0.197188334202774</v>
      </c>
      <c r="N271" s="4">
        <v>0.0172300475204143</v>
      </c>
      <c r="O271" s="4">
        <v>-0.214418381723188</v>
      </c>
      <c r="P271" s="4">
        <v>0.01913358</v>
      </c>
      <c r="Q271" t="s">
        <v>179</v>
      </c>
      <c r="R271" s="3">
        <v>3186.45839321899</v>
      </c>
      <c r="S271" s="4">
        <v>0.0783167298185742</v>
      </c>
      <c r="T271" s="4">
        <v>-0.197188334202774</v>
      </c>
      <c r="U271" s="4">
        <v>0.0172300475204143</v>
      </c>
      <c r="V271" s="4">
        <v>-0.214418381723188</v>
      </c>
      <c r="W271" s="4">
        <v>0.01913358</v>
      </c>
    </row>
    <row r="272" spans="1:23" x14ac:dyDescent="0.25">
      <c r="A272">
        <v>93330</v>
      </c>
      <c r="B272" t="s">
        <v>138</v>
      </c>
      <c r="C272" t="s">
        <v>139</v>
      </c>
      <c r="D272">
        <v>6</v>
      </c>
      <c r="E272" s="1">
        <v>0.0751354012801576</v>
      </c>
      <c r="F272" s="1">
        <v>0.128107331516955</v>
      </c>
      <c r="G272" s="1">
        <v>0.4</v>
      </c>
      <c r="H272" s="1">
        <v>1</v>
      </c>
      <c r="I272" s="1">
        <v>0.7</v>
      </c>
      <c r="J272" t="s">
        <v>179</v>
      </c>
      <c r="K272" s="3">
        <v>4388.77433276367</v>
      </c>
      <c r="L272" s="4">
        <v>0.111921394735248</v>
      </c>
      <c r="M272" s="4">
        <v>0.179388782084827</v>
      </c>
      <c r="N272" s="4">
        <v>0.0172300475204143</v>
      </c>
      <c r="O272" s="4">
        <v>0.162158734564413</v>
      </c>
      <c r="P272" s="4">
        <v>0.01913358</v>
      </c>
      <c r="Q272" t="s">
        <v>179</v>
      </c>
      <c r="R272" s="3">
        <v>4388.77433276367</v>
      </c>
      <c r="S272" s="4">
        <v>0.111921394735248</v>
      </c>
      <c r="T272" s="4">
        <v>0.179388782084827</v>
      </c>
      <c r="U272" s="4">
        <v>0.0172300475204143</v>
      </c>
      <c r="V272" s="4">
        <v>0.162158734564413</v>
      </c>
      <c r="W272" s="4">
        <v>0.01913358</v>
      </c>
    </row>
    <row r="273" spans="1:23" x14ac:dyDescent="0.25">
      <c r="A273">
        <v>23473</v>
      </c>
      <c r="B273" t="s">
        <v>23</v>
      </c>
      <c r="C273" t="s">
        <v>24</v>
      </c>
      <c r="D273">
        <v>6</v>
      </c>
      <c r="E273" s="1">
        <v>0.0848339335734294</v>
      </c>
      <c r="F273" s="1">
        <v>0.061442881127367</v>
      </c>
      <c r="G273" s="1">
        <v>0.4</v>
      </c>
      <c r="H273" s="1">
        <v>0.8</v>
      </c>
      <c r="I273" s="1">
        <v>0.6</v>
      </c>
      <c r="J273" t="s">
        <v>179</v>
      </c>
      <c r="K273" s="3">
        <v>10871.4360992432</v>
      </c>
      <c r="L273" s="4">
        <v>0.0519361350706552</v>
      </c>
      <c r="M273" s="4">
        <v>0.456522309367964</v>
      </c>
      <c r="N273" s="4">
        <v>0.0172300475204143</v>
      </c>
      <c r="O273" s="4">
        <v>0.439292261847549</v>
      </c>
      <c r="P273" s="4">
        <v>0.01913358</v>
      </c>
      <c r="Q273" t="s">
        <v>179</v>
      </c>
      <c r="R273" s="3">
        <v>10871.4360992432</v>
      </c>
      <c r="S273" s="4">
        <v>0.0519361350706552</v>
      </c>
      <c r="T273" s="4">
        <v>0.456522309367964</v>
      </c>
      <c r="U273" s="4">
        <v>0.0172300475204143</v>
      </c>
      <c r="V273" s="4">
        <v>0.439292261847549</v>
      </c>
      <c r="W273" s="4">
        <v>0.01913358</v>
      </c>
    </row>
    <row r="274" spans="1:23" x14ac:dyDescent="0.25">
      <c r="A274">
        <v>78693</v>
      </c>
      <c r="B274" t="s">
        <v>153</v>
      </c>
      <c r="C274" t="s">
        <v>154</v>
      </c>
      <c r="D274">
        <v>6</v>
      </c>
      <c r="E274" s="1">
        <v>0.039271610355419</v>
      </c>
      <c r="F274" s="1">
        <v>-0.0843831261451113</v>
      </c>
      <c r="G274" s="1">
        <v>0.8</v>
      </c>
      <c r="H274" s="1">
        <v>0.4</v>
      </c>
      <c r="I274" s="1">
        <v>0.6</v>
      </c>
      <c r="J274" t="s">
        <v>179</v>
      </c>
      <c r="K274" s="3">
        <v>1365.14839796448</v>
      </c>
      <c r="L274" s="4">
        <v>-0.0740667770793184</v>
      </c>
      <c r="M274" s="4">
        <v>-0.0484385933015521</v>
      </c>
      <c r="N274" s="4">
        <v>0.0172300475204143</v>
      </c>
      <c r="O274" s="4">
        <v>-0.0656686408219664</v>
      </c>
      <c r="P274" s="4">
        <v>0.01913358</v>
      </c>
      <c r="Q274" t="s">
        <v>179</v>
      </c>
      <c r="R274" s="3">
        <v>1365.14839796448</v>
      </c>
      <c r="S274" s="4">
        <v>-0.0740667770793184</v>
      </c>
      <c r="T274" s="4">
        <v>-0.0484385933015521</v>
      </c>
      <c r="U274" s="4">
        <v>0.0172300475204143</v>
      </c>
      <c r="V274" s="4">
        <v>-0.0656686408219664</v>
      </c>
      <c r="W274" s="4">
        <v>0.01913358</v>
      </c>
    </row>
    <row r="275" spans="1:23" x14ac:dyDescent="0.25">
      <c r="A275">
        <v>87666</v>
      </c>
      <c r="B275" t="s">
        <v>35</v>
      </c>
      <c r="C275" t="s">
        <v>36</v>
      </c>
      <c r="D275">
        <v>6</v>
      </c>
      <c r="E275" s="1">
        <v>0.0676561295296839</v>
      </c>
      <c r="F275" s="1">
        <v>0.0468101567413576</v>
      </c>
      <c r="G275" s="1">
        <v>0.4</v>
      </c>
      <c r="H275" s="1">
        <v>0.8</v>
      </c>
      <c r="I275" s="1">
        <v>0.6</v>
      </c>
      <c r="J275" t="s">
        <v>179</v>
      </c>
      <c r="K275" s="3">
        <v>24389.9065691376</v>
      </c>
      <c r="L275" s="4">
        <v>0.0261600747430707</v>
      </c>
      <c r="M275" s="4">
        <v>-0.0219974417552133</v>
      </c>
      <c r="N275" s="4">
        <v>0.0172300475204143</v>
      </c>
      <c r="O275" s="4">
        <v>-0.0392274892756277</v>
      </c>
      <c r="P275" s="4">
        <v>0.01913358</v>
      </c>
      <c r="Q275" t="s">
        <v>179</v>
      </c>
      <c r="R275" s="3">
        <v>24389.9065691376</v>
      </c>
      <c r="S275" s="4">
        <v>0.0261600747430707</v>
      </c>
      <c r="T275" s="4">
        <v>-0.0219974417552133</v>
      </c>
      <c r="U275" s="4">
        <v>0.0172300475204143</v>
      </c>
      <c r="V275" s="4">
        <v>-0.0392274892756277</v>
      </c>
      <c r="W275" s="4">
        <v>0.01913358</v>
      </c>
    </row>
    <row r="276" spans="1:23" x14ac:dyDescent="0.25">
      <c r="A276">
        <v>13400</v>
      </c>
      <c r="B276" t="s">
        <v>122</v>
      </c>
      <c r="C276" t="s">
        <v>123</v>
      </c>
      <c r="D276">
        <v>6</v>
      </c>
      <c r="E276" s="1">
        <v>0.022741935483871</v>
      </c>
      <c r="F276" s="1">
        <v>-0.241687914621906</v>
      </c>
      <c r="G276" s="1">
        <v>1</v>
      </c>
      <c r="H276" s="1">
        <v>0.2</v>
      </c>
      <c r="I276" s="1">
        <v>0.6</v>
      </c>
      <c r="J276" t="s">
        <v>179</v>
      </c>
      <c r="K276" s="3">
        <v>1981.85</v>
      </c>
      <c r="L276" s="4">
        <v>0.338996684113275</v>
      </c>
      <c r="M276" s="4">
        <v>0.0531085288671147</v>
      </c>
      <c r="N276" s="4">
        <v>0.0172300475204143</v>
      </c>
      <c r="O276" s="4">
        <v>0.0358784813467004</v>
      </c>
      <c r="P276" s="4">
        <v>0.01913358</v>
      </c>
      <c r="Q276" t="s">
        <v>179</v>
      </c>
      <c r="R276" s="3">
        <v>1981.85</v>
      </c>
      <c r="S276" s="4">
        <v>0.338996684113275</v>
      </c>
      <c r="T276" s="4">
        <v>0.0531085288671147</v>
      </c>
      <c r="U276" s="4">
        <v>0.0172300475204143</v>
      </c>
      <c r="V276" s="4">
        <v>0.0358784813467004</v>
      </c>
      <c r="W276" s="4">
        <v>0.01913358</v>
      </c>
    </row>
    <row r="277" spans="1:23" x14ac:dyDescent="0.25">
      <c r="A277">
        <v>68292</v>
      </c>
      <c r="B277" t="s">
        <v>132</v>
      </c>
      <c r="C277" t="s">
        <v>133</v>
      </c>
      <c r="D277">
        <v>6</v>
      </c>
      <c r="E277" s="1">
        <v>0.0492333901192504</v>
      </c>
      <c r="F277" s="1">
        <v>-0.000363217269238159</v>
      </c>
      <c r="G277" s="1">
        <v>0.6</v>
      </c>
      <c r="H277" s="1">
        <v>0.6</v>
      </c>
      <c r="I277" s="1">
        <v>0.6</v>
      </c>
      <c r="J277" t="s">
        <v>179</v>
      </c>
      <c r="K277" s="3">
        <v>3235.925</v>
      </c>
      <c r="L277" s="4">
        <v>0.0771284034070235</v>
      </c>
      <c r="M277" s="4">
        <v>0.275069503135764</v>
      </c>
      <c r="N277" s="4">
        <v>0.0172300475204143</v>
      </c>
      <c r="O277" s="4">
        <v>0.257839455615349</v>
      </c>
      <c r="P277" s="4">
        <v>0.01913358</v>
      </c>
      <c r="Q277" t="s">
        <v>179</v>
      </c>
      <c r="R277" s="3">
        <v>3235.925</v>
      </c>
      <c r="S277" s="4">
        <v>0.0771284034070235</v>
      </c>
      <c r="T277" s="4">
        <v>0.275069503135764</v>
      </c>
      <c r="U277" s="4">
        <v>0.0172300475204143</v>
      </c>
      <c r="V277" s="4">
        <v>0.257839455615349</v>
      </c>
      <c r="W277" s="4">
        <v>0.01913358</v>
      </c>
    </row>
    <row r="278" spans="1:23" x14ac:dyDescent="0.25">
      <c r="A278">
        <v>77120</v>
      </c>
      <c r="B278" t="s">
        <v>124</v>
      </c>
      <c r="C278" t="s">
        <v>125</v>
      </c>
      <c r="D278">
        <v>6</v>
      </c>
      <c r="E278" s="1">
        <v>0.0929705215419501</v>
      </c>
      <c r="F278" s="1">
        <v>0.131478175462675</v>
      </c>
      <c r="G278" s="1">
        <v>0.2</v>
      </c>
      <c r="H278" s="1">
        <v>1</v>
      </c>
      <c r="I278" s="1">
        <v>0.6</v>
      </c>
      <c r="J278" t="s">
        <v>179</v>
      </c>
      <c r="K278" s="3">
        <v>1823.87233760071</v>
      </c>
      <c r="L278" s="4">
        <v>0.0391768679486524</v>
      </c>
      <c r="M278" s="4">
        <v>-0.0570719867329457</v>
      </c>
      <c r="N278" s="4">
        <v>0.0172300475204143</v>
      </c>
      <c r="O278" s="4">
        <v>-0.07430203425336</v>
      </c>
      <c r="P278" s="4">
        <v>0.01913358</v>
      </c>
      <c r="Q278" t="s">
        <v>179</v>
      </c>
      <c r="R278" s="3">
        <v>1823.87233760071</v>
      </c>
      <c r="S278" s="4">
        <v>0.0391768679486524</v>
      </c>
      <c r="T278" s="4">
        <v>-0.0570719867329457</v>
      </c>
      <c r="U278" s="4">
        <v>0.0172300475204143</v>
      </c>
      <c r="V278" s="4">
        <v>-0.07430203425336</v>
      </c>
      <c r="W278" s="4">
        <v>0.01913358</v>
      </c>
    </row>
    <row r="279" spans="1:23" x14ac:dyDescent="0.25">
      <c r="A279">
        <v>88963</v>
      </c>
      <c r="B279" t="s">
        <v>175</v>
      </c>
      <c r="C279" t="s">
        <v>176</v>
      </c>
      <c r="D279">
        <v>6</v>
      </c>
      <c r="E279" s="1">
        <v>0.015028901734104</v>
      </c>
      <c r="F279" s="1">
        <v>-0.147075372346409</v>
      </c>
      <c r="G279" s="1">
        <v>1</v>
      </c>
      <c r="H279" s="1">
        <v>0.2</v>
      </c>
      <c r="I279" s="1">
        <v>0.6</v>
      </c>
      <c r="J279" t="s">
        <v>179</v>
      </c>
      <c r="K279" s="3">
        <v>308.770062211037</v>
      </c>
      <c r="L279" s="4">
        <v>0.0728419974481223</v>
      </c>
      <c r="M279" s="4">
        <v>0.0776396075893564</v>
      </c>
      <c r="N279" s="4">
        <v>0.0172300475204143</v>
      </c>
      <c r="O279" s="4">
        <v>0.060409560068942</v>
      </c>
      <c r="P279" s="4">
        <v>0.01913358</v>
      </c>
      <c r="Q279" t="s">
        <v>179</v>
      </c>
      <c r="R279" s="3">
        <v>308.770062211037</v>
      </c>
      <c r="S279" s="4">
        <v>0.0728419974481223</v>
      </c>
      <c r="T279" s="4">
        <v>0.0776396075893564</v>
      </c>
      <c r="U279" s="4">
        <v>0.0172300475204143</v>
      </c>
      <c r="V279" s="4">
        <v>0.060409560068942</v>
      </c>
      <c r="W279" s="4">
        <v>0.01913358</v>
      </c>
    </row>
    <row r="280" spans="1:23" x14ac:dyDescent="0.25">
      <c r="A280">
        <v>89575</v>
      </c>
      <c r="B280" t="s">
        <v>167</v>
      </c>
      <c r="C280" t="s">
        <v>168</v>
      </c>
      <c r="D280">
        <v>6</v>
      </c>
      <c r="E280" s="1">
        <v>0.0513681592039801</v>
      </c>
      <c r="F280" s="1">
        <v>-0.0183819611099076</v>
      </c>
      <c r="G280" s="1">
        <v>0.6</v>
      </c>
      <c r="H280" s="1">
        <v>0.6</v>
      </c>
      <c r="I280" s="1">
        <v>0.6</v>
      </c>
      <c r="J280" t="s">
        <v>179</v>
      </c>
      <c r="K280" s="3">
        <v>1305.50982332611</v>
      </c>
      <c r="L280" s="4">
        <v>0.0249200674767803</v>
      </c>
      <c r="M280" s="4">
        <v>0.0973542678541381</v>
      </c>
      <c r="N280" s="4">
        <v>0.0172300475204143</v>
      </c>
      <c r="O280" s="4">
        <v>0.0801242203337238</v>
      </c>
      <c r="P280" s="4">
        <v>0.01913358</v>
      </c>
      <c r="Q280" t="s">
        <v>179</v>
      </c>
      <c r="R280" s="3">
        <v>1305.50982332611</v>
      </c>
      <c r="S280" s="4">
        <v>0.0249200674767803</v>
      </c>
      <c r="T280" s="4">
        <v>0.0973542678541381</v>
      </c>
      <c r="U280" s="4">
        <v>0.0172300475204143</v>
      </c>
      <c r="V280" s="4">
        <v>0.0801242203337238</v>
      </c>
      <c r="W280" s="4">
        <v>0.01913358</v>
      </c>
    </row>
    <row r="281" spans="1:23" x14ac:dyDescent="0.25">
      <c r="A281">
        <v>90038</v>
      </c>
      <c r="B281" t="s">
        <v>73</v>
      </c>
      <c r="C281" t="s">
        <v>74</v>
      </c>
      <c r="D281">
        <v>6</v>
      </c>
      <c r="E281" s="1">
        <v>0.0937128123760412</v>
      </c>
      <c r="F281" s="1">
        <v>0.168228057786234</v>
      </c>
      <c r="G281" s="1">
        <v>0.2</v>
      </c>
      <c r="H281" s="1">
        <v>1</v>
      </c>
      <c r="I281" s="1">
        <v>0.6</v>
      </c>
      <c r="J281" t="s">
        <v>179</v>
      </c>
      <c r="K281" s="3">
        <v>5452.88798744202</v>
      </c>
      <c r="L281" s="4">
        <v>-0.127860539258172</v>
      </c>
      <c r="M281" s="4">
        <v>0.0961352500608641</v>
      </c>
      <c r="N281" s="4">
        <v>0.0172300475204143</v>
      </c>
      <c r="O281" s="4">
        <v>0.0789052025404497</v>
      </c>
      <c r="P281" s="4">
        <v>0.01913358</v>
      </c>
      <c r="Q281" t="s">
        <v>179</v>
      </c>
      <c r="R281" s="3">
        <v>5452.88798744202</v>
      </c>
      <c r="S281" s="4">
        <v>-0.127860539258172</v>
      </c>
      <c r="T281" s="4">
        <v>0.0961352500608641</v>
      </c>
      <c r="U281" s="4">
        <v>0.0172300475204143</v>
      </c>
      <c r="V281" s="4">
        <v>0.0789052025404497</v>
      </c>
      <c r="W281" s="4">
        <v>0.01913358</v>
      </c>
    </row>
    <row r="282" spans="1:23" x14ac:dyDescent="0.25">
      <c r="A282">
        <v>92506</v>
      </c>
      <c r="B282" t="s">
        <v>157</v>
      </c>
      <c r="C282" t="s">
        <v>158</v>
      </c>
      <c r="D282">
        <v>6</v>
      </c>
      <c r="E282" s="1">
        <v>0.0913480885311871</v>
      </c>
      <c r="F282" s="1">
        <v>0.103199413255817</v>
      </c>
      <c r="G282" s="1">
        <v>0.2</v>
      </c>
      <c r="H282" s="1">
        <v>1</v>
      </c>
      <c r="I282" s="1">
        <v>0.6</v>
      </c>
      <c r="J282" t="s">
        <v>179</v>
      </c>
      <c r="K282" s="3">
        <v>872.287950668335</v>
      </c>
      <c r="L282" s="4">
        <v>-0.0230236068943844</v>
      </c>
      <c r="M282" s="4">
        <v>-0.331514345617025</v>
      </c>
      <c r="N282" s="4">
        <v>0.0172300475204143</v>
      </c>
      <c r="O282" s="4">
        <v>-0.348744393137439</v>
      </c>
      <c r="P282" s="4">
        <v>0.01913358</v>
      </c>
      <c r="Q282" t="s">
        <v>179</v>
      </c>
      <c r="R282" s="3">
        <v>872.287950668335</v>
      </c>
      <c r="S282" s="4">
        <v>-0.0230236068943844</v>
      </c>
      <c r="T282" s="4">
        <v>-0.331514345617025</v>
      </c>
      <c r="U282" s="4">
        <v>0.0172300475204143</v>
      </c>
      <c r="V282" s="4">
        <v>-0.348744393137439</v>
      </c>
      <c r="W282" s="4">
        <v>0.01913358</v>
      </c>
    </row>
    <row r="283" spans="1:23" x14ac:dyDescent="0.25">
      <c r="A283">
        <v>17743</v>
      </c>
      <c r="B283" t="s">
        <v>75</v>
      </c>
      <c r="C283" t="s">
        <v>76</v>
      </c>
      <c r="D283">
        <v>6</v>
      </c>
      <c r="E283" s="1">
        <v>0.0614096301465457</v>
      </c>
      <c r="F283" s="1">
        <v>-0.0414258404267804</v>
      </c>
      <c r="G283" s="1">
        <v>0.6</v>
      </c>
      <c r="H283" s="1">
        <v>0.4</v>
      </c>
      <c r="I283" s="1">
        <v>0.5</v>
      </c>
      <c r="J283" t="s">
        <v>179</v>
      </c>
      <c r="K283" s="3">
        <v>8810.05273556518</v>
      </c>
      <c r="L283" s="4">
        <v>0.00816849182177943</v>
      </c>
      <c r="M283" s="4">
        <v>0.253504688682562</v>
      </c>
      <c r="N283" s="4">
        <v>0.0172300475204143</v>
      </c>
      <c r="O283" s="4">
        <v>0.236274641162147</v>
      </c>
      <c r="P283" s="4">
        <v>0.01913358</v>
      </c>
      <c r="Q283" t="s">
        <v>179</v>
      </c>
      <c r="R283" s="3">
        <v>8810.05273556518</v>
      </c>
      <c r="S283" s="4">
        <v>0.00816849182177943</v>
      </c>
      <c r="T283" s="4">
        <v>0.253504688682562</v>
      </c>
      <c r="U283" s="4">
        <v>0.0172300475204143</v>
      </c>
      <c r="V283" s="4">
        <v>0.236274641162147</v>
      </c>
      <c r="W283" s="4">
        <v>0.01913358</v>
      </c>
    </row>
    <row r="284" spans="1:23" x14ac:dyDescent="0.25">
      <c r="A284">
        <v>45751</v>
      </c>
      <c r="B284" t="s">
        <v>27</v>
      </c>
      <c r="C284" t="s">
        <v>28</v>
      </c>
      <c r="D284">
        <v>6</v>
      </c>
      <c r="E284" s="1">
        <v>0.0357537781054184</v>
      </c>
      <c r="F284" s="1">
        <v>-0.107977340708065</v>
      </c>
      <c r="G284" s="1">
        <v>0.8</v>
      </c>
      <c r="H284" s="1">
        <v>0.2</v>
      </c>
      <c r="I284" s="1">
        <v>0.5</v>
      </c>
      <c r="J284" t="s">
        <v>179</v>
      </c>
      <c r="K284" s="3">
        <v>41590.185129364</v>
      </c>
      <c r="L284" s="4">
        <v>0.0624242424242424</v>
      </c>
      <c r="M284" s="4">
        <v>0.212238954025301</v>
      </c>
      <c r="N284" s="4">
        <v>0.0172300475204143</v>
      </c>
      <c r="O284" s="4">
        <v>0.195008906504887</v>
      </c>
      <c r="P284" s="4">
        <v>0.01913358</v>
      </c>
      <c r="Q284" t="s">
        <v>179</v>
      </c>
      <c r="R284" s="3">
        <v>41590.185129364</v>
      </c>
      <c r="S284" s="4">
        <v>0.0624242424242424</v>
      </c>
      <c r="T284" s="4">
        <v>0.212238954025301</v>
      </c>
      <c r="U284" s="4">
        <v>0.0172300475204143</v>
      </c>
      <c r="V284" s="4">
        <v>0.195008906504887</v>
      </c>
      <c r="W284" s="4">
        <v>0.01913358</v>
      </c>
    </row>
    <row r="285" spans="1:23" x14ac:dyDescent="0.25">
      <c r="A285">
        <v>57904</v>
      </c>
      <c r="B285" t="s">
        <v>41</v>
      </c>
      <c r="C285" t="s">
        <v>42</v>
      </c>
      <c r="D285">
        <v>6</v>
      </c>
      <c r="E285" s="1">
        <v>0.132490316700843</v>
      </c>
      <c r="F285" s="1">
        <v>0.0451204527775715</v>
      </c>
      <c r="G285" s="1">
        <v>0.2</v>
      </c>
      <c r="H285" s="1">
        <v>0.8</v>
      </c>
      <c r="I285" s="1">
        <v>0.5</v>
      </c>
      <c r="J285" t="s">
        <v>179</v>
      </c>
      <c r="K285" s="3">
        <v>33304.6646943855</v>
      </c>
      <c r="L285" s="4">
        <v>-0.0301242513631894</v>
      </c>
      <c r="M285" s="4">
        <v>0.163810914274548</v>
      </c>
      <c r="N285" s="4">
        <v>0.0172300475204143</v>
      </c>
      <c r="O285" s="4">
        <v>0.146580866754134</v>
      </c>
      <c r="P285" s="4">
        <v>0.01913358</v>
      </c>
      <c r="Q285" t="s">
        <v>179</v>
      </c>
      <c r="R285" s="3">
        <v>33304.6646943855</v>
      </c>
      <c r="S285" s="4">
        <v>-0.0301242513631894</v>
      </c>
      <c r="T285" s="4">
        <v>0.163810914274548</v>
      </c>
      <c r="U285" s="4">
        <v>0.0172300475204143</v>
      </c>
      <c r="V285" s="4">
        <v>0.146580866754134</v>
      </c>
      <c r="W285" s="4">
        <v>0.01913358</v>
      </c>
    </row>
    <row r="286" spans="1:23" x14ac:dyDescent="0.25">
      <c r="A286">
        <v>59459</v>
      </c>
      <c r="B286" t="s">
        <v>63</v>
      </c>
      <c r="C286" t="s">
        <v>64</v>
      </c>
      <c r="D286">
        <v>6</v>
      </c>
      <c r="E286" s="1">
        <v>0.054482453553524</v>
      </c>
      <c r="F286" s="1">
        <v>-0.0995004547217961</v>
      </c>
      <c r="G286" s="1">
        <v>0.6</v>
      </c>
      <c r="H286" s="1">
        <v>0.4</v>
      </c>
      <c r="I286" s="1">
        <v>0.5</v>
      </c>
      <c r="J286" t="s">
        <v>179</v>
      </c>
      <c r="K286" s="3">
        <v>33063.7297502747</v>
      </c>
      <c r="L286" s="4">
        <v>0.0454028679355998</v>
      </c>
      <c r="M286" s="4">
        <v>0.160409767299062</v>
      </c>
      <c r="N286" s="4">
        <v>0.0172300475204143</v>
      </c>
      <c r="O286" s="4">
        <v>0.143179719778648</v>
      </c>
      <c r="P286" s="4">
        <v>0.01913358</v>
      </c>
      <c r="Q286" t="s">
        <v>179</v>
      </c>
      <c r="R286" s="3">
        <v>33063.7297502747</v>
      </c>
      <c r="S286" s="4">
        <v>0.0454028679355998</v>
      </c>
      <c r="T286" s="4">
        <v>0.160409767299062</v>
      </c>
      <c r="U286" s="4">
        <v>0.0172300475204143</v>
      </c>
      <c r="V286" s="4">
        <v>0.143179719778648</v>
      </c>
      <c r="W286" s="4">
        <v>0.01913358</v>
      </c>
    </row>
    <row r="287" spans="1:23" x14ac:dyDescent="0.25">
      <c r="A287">
        <v>63467</v>
      </c>
      <c r="B287" t="s">
        <v>43</v>
      </c>
      <c r="C287" t="s">
        <v>44</v>
      </c>
      <c r="D287">
        <v>6</v>
      </c>
      <c r="E287" s="1">
        <v>0.0555771472988729</v>
      </c>
      <c r="F287" s="1">
        <v>-0.0551674567178496</v>
      </c>
      <c r="G287" s="1">
        <v>0.6</v>
      </c>
      <c r="H287" s="1">
        <v>0.4</v>
      </c>
      <c r="I287" s="1">
        <v>0.5</v>
      </c>
      <c r="J287" t="s">
        <v>179</v>
      </c>
      <c r="K287" s="3">
        <v>7660.19053354645</v>
      </c>
      <c r="L287" s="4">
        <v>0.0536151053786619</v>
      </c>
      <c r="M287" s="4">
        <v>0.148448028688219</v>
      </c>
      <c r="N287" s="4">
        <v>0.0172300475204143</v>
      </c>
      <c r="O287" s="4">
        <v>0.131217981167805</v>
      </c>
      <c r="P287" s="4">
        <v>0.01913358</v>
      </c>
      <c r="Q287" t="s">
        <v>179</v>
      </c>
      <c r="R287" s="3">
        <v>7660.19053354645</v>
      </c>
      <c r="S287" s="4">
        <v>0.0536151053786619</v>
      </c>
      <c r="T287" s="4">
        <v>0.148448028688219</v>
      </c>
      <c r="U287" s="4">
        <v>0.0172300475204143</v>
      </c>
      <c r="V287" s="4">
        <v>0.131217981167805</v>
      </c>
      <c r="W287" s="4">
        <v>0.01913358</v>
      </c>
    </row>
    <row r="288" spans="1:23" x14ac:dyDescent="0.25">
      <c r="A288">
        <v>78211</v>
      </c>
      <c r="B288" t="s">
        <v>165</v>
      </c>
      <c r="C288" t="s">
        <v>166</v>
      </c>
      <c r="D288">
        <v>6</v>
      </c>
      <c r="E288" s="1">
        <v>0.112248628884826</v>
      </c>
      <c r="F288" s="1">
        <v>0.070215948671988</v>
      </c>
      <c r="G288" s="1">
        <v>0.2</v>
      </c>
      <c r="H288" s="1">
        <v>0.8</v>
      </c>
      <c r="I288" s="1">
        <v>0.5</v>
      </c>
      <c r="J288" t="s">
        <v>179</v>
      </c>
      <c r="K288" s="3">
        <v>1230.71124649811</v>
      </c>
      <c r="L288" s="4">
        <v>0.0972246745533637</v>
      </c>
      <c r="M288" s="4">
        <v>-0.167480531684744</v>
      </c>
      <c r="N288" s="4">
        <v>0.0172300475204143</v>
      </c>
      <c r="O288" s="4">
        <v>-0.184710579205159</v>
      </c>
      <c r="P288" s="4">
        <v>0.01913358</v>
      </c>
      <c r="Q288" t="s">
        <v>179</v>
      </c>
      <c r="R288" s="3">
        <v>1230.71124649811</v>
      </c>
      <c r="S288" s="4">
        <v>0.0972246745533637</v>
      </c>
      <c r="T288" s="4">
        <v>-0.167480531684744</v>
      </c>
      <c r="U288" s="4">
        <v>0.0172300475204143</v>
      </c>
      <c r="V288" s="4">
        <v>-0.184710579205159</v>
      </c>
      <c r="W288" s="4">
        <v>0.01913358</v>
      </c>
    </row>
    <row r="289" spans="1:23" x14ac:dyDescent="0.25">
      <c r="A289">
        <v>89258</v>
      </c>
      <c r="B289" t="s">
        <v>21</v>
      </c>
      <c r="C289" t="s">
        <v>22</v>
      </c>
      <c r="D289">
        <v>6</v>
      </c>
      <c r="E289" s="1">
        <v>0.158201426335015</v>
      </c>
      <c r="F289" s="1">
        <v>0.0440061244502451</v>
      </c>
      <c r="G289" s="1">
        <v>0.2</v>
      </c>
      <c r="H289" s="1">
        <v>0.8</v>
      </c>
      <c r="I289" s="1">
        <v>0.5</v>
      </c>
      <c r="J289" t="s">
        <v>179</v>
      </c>
      <c r="K289" s="3">
        <v>39274.2008972168</v>
      </c>
      <c r="L289" s="4">
        <v>0.0143162828612187</v>
      </c>
      <c r="M289" s="4">
        <v>-0.00730539600932423</v>
      </c>
      <c r="N289" s="4">
        <v>0.0172300475204143</v>
      </c>
      <c r="O289" s="4">
        <v>-0.0245354435297386</v>
      </c>
      <c r="P289" s="4">
        <v>0.01913358</v>
      </c>
      <c r="Q289" t="s">
        <v>179</v>
      </c>
      <c r="R289" s="3">
        <v>39274.2008972168</v>
      </c>
      <c r="S289" s="4">
        <v>0.0143162828612187</v>
      </c>
      <c r="T289" s="4">
        <v>-0.00730539600932423</v>
      </c>
      <c r="U289" s="4">
        <v>0.0172300475204143</v>
      </c>
      <c r="V289" s="4">
        <v>-0.0245354435297386</v>
      </c>
      <c r="W289" s="4">
        <v>0.01913358</v>
      </c>
    </row>
    <row r="290" spans="1:23" x14ac:dyDescent="0.25">
      <c r="A290">
        <v>89269</v>
      </c>
      <c r="B290" t="s">
        <v>103</v>
      </c>
      <c r="C290" t="s">
        <v>104</v>
      </c>
      <c r="D290">
        <v>6</v>
      </c>
      <c r="E290" s="1">
        <v>0.0475812846946868</v>
      </c>
      <c r="F290" s="1">
        <v>-0.111832956271559</v>
      </c>
      <c r="G290" s="1">
        <v>0.8</v>
      </c>
      <c r="H290" s="1">
        <v>0.2</v>
      </c>
      <c r="I290" s="1">
        <v>0.5</v>
      </c>
      <c r="J290" t="s">
        <v>179</v>
      </c>
      <c r="K290" s="3">
        <v>25280.104402153</v>
      </c>
      <c r="L290" s="4">
        <v>0.197218647926359</v>
      </c>
      <c r="M290" s="4">
        <v>-0.0141686844376679</v>
      </c>
      <c r="N290" s="4">
        <v>0.0172300475204143</v>
      </c>
      <c r="O290" s="4">
        <v>-0.0313987319580823</v>
      </c>
      <c r="P290" s="4">
        <v>0.01913358</v>
      </c>
      <c r="Q290" t="s">
        <v>179</v>
      </c>
      <c r="R290" s="3">
        <v>25280.104402153</v>
      </c>
      <c r="S290" s="4">
        <v>0.197218647926359</v>
      </c>
      <c r="T290" s="4">
        <v>-0.0141686844376679</v>
      </c>
      <c r="U290" s="4">
        <v>0.0172300475204143</v>
      </c>
      <c r="V290" s="4">
        <v>-0.0313987319580823</v>
      </c>
      <c r="W290" s="4">
        <v>0.01913358</v>
      </c>
    </row>
    <row r="291" spans="1:23" x14ac:dyDescent="0.25">
      <c r="A291">
        <v>90925</v>
      </c>
      <c r="B291" t="s">
        <v>105</v>
      </c>
      <c r="C291" t="s">
        <v>106</v>
      </c>
      <c r="D291">
        <v>6</v>
      </c>
      <c r="E291" s="1">
        <v>0.0601427115188583</v>
      </c>
      <c r="F291" s="1">
        <v>-0.0890438070836573</v>
      </c>
      <c r="G291" s="1">
        <v>0.6</v>
      </c>
      <c r="H291" s="1">
        <v>0.4</v>
      </c>
      <c r="I291" s="1">
        <v>0.5</v>
      </c>
      <c r="J291" t="s">
        <v>179</v>
      </c>
      <c r="K291" s="3">
        <v>10330.0378867073</v>
      </c>
      <c r="L291" s="4">
        <v>-0.226754523585399</v>
      </c>
      <c r="M291" s="4">
        <v>0.0785312944964509</v>
      </c>
      <c r="N291" s="4">
        <v>0.0172300475204143</v>
      </c>
      <c r="O291" s="4">
        <v>0.0613012469760366</v>
      </c>
      <c r="P291" s="4">
        <v>0.01913358</v>
      </c>
      <c r="Q291" t="s">
        <v>179</v>
      </c>
      <c r="R291" s="3">
        <v>10330.0378867073</v>
      </c>
      <c r="S291" s="4">
        <v>-0.226754523585399</v>
      </c>
      <c r="T291" s="4">
        <v>0.0785312944964509</v>
      </c>
      <c r="U291" s="4">
        <v>0.0172300475204143</v>
      </c>
      <c r="V291" s="4">
        <v>0.0613012469760366</v>
      </c>
      <c r="W291" s="4">
        <v>0.01913358</v>
      </c>
    </row>
    <row r="292" spans="1:23" x14ac:dyDescent="0.25">
      <c r="A292">
        <v>91688</v>
      </c>
      <c r="B292" t="s">
        <v>171</v>
      </c>
      <c r="C292" t="s">
        <v>172</v>
      </c>
      <c r="D292">
        <v>6</v>
      </c>
      <c r="E292" s="1">
        <v>0.0700450450450451</v>
      </c>
      <c r="F292" s="1">
        <v>0.0150180829696186</v>
      </c>
      <c r="G292" s="1">
        <v>0.4</v>
      </c>
      <c r="H292" s="1">
        <v>0.6</v>
      </c>
      <c r="I292" s="1">
        <v>0.5</v>
      </c>
      <c r="J292" t="s">
        <v>179</v>
      </c>
      <c r="K292" s="3">
        <v>1316.87162499237</v>
      </c>
      <c r="L292" s="4">
        <v>0.0250064119004873</v>
      </c>
      <c r="M292" s="4">
        <v>0.0696932259576581</v>
      </c>
      <c r="N292" s="4">
        <v>0.0172300475204143</v>
      </c>
      <c r="O292" s="4">
        <v>0.0524631784372438</v>
      </c>
      <c r="P292" s="4">
        <v>0.01913358</v>
      </c>
      <c r="Q292" t="s">
        <v>179</v>
      </c>
      <c r="R292" s="3">
        <v>1316.87162499237</v>
      </c>
      <c r="S292" s="4">
        <v>0.0250064119004873</v>
      </c>
      <c r="T292" s="4">
        <v>0.0696932259576581</v>
      </c>
      <c r="U292" s="4">
        <v>0.0172300475204143</v>
      </c>
      <c r="V292" s="4">
        <v>0.0524631784372438</v>
      </c>
      <c r="W292" s="4">
        <v>0.01913358</v>
      </c>
    </row>
    <row r="293" spans="1:23" x14ac:dyDescent="0.25">
      <c r="A293">
        <v>92111</v>
      </c>
      <c r="B293" t="s">
        <v>184</v>
      </c>
      <c r="C293" t="s">
        <v>185</v>
      </c>
      <c r="D293">
        <v>6</v>
      </c>
      <c r="E293" s="1">
        <v>0.0369747899159664</v>
      </c>
      <c r="F293" s="1">
        <v>-0.142705244913653</v>
      </c>
      <c r="G293" s="1">
        <v>0.8</v>
      </c>
      <c r="H293" s="1">
        <v>0.2</v>
      </c>
      <c r="I293" s="1">
        <v>0.5</v>
      </c>
      <c r="J293" t="s">
        <v>179</v>
      </c>
      <c r="K293" s="3">
        <v>249.172406989098</v>
      </c>
      <c r="L293" s="4">
        <v>-0.025814724896936</v>
      </c>
      <c r="M293" s="4">
        <v>-0.0612168835407224</v>
      </c>
      <c r="N293" s="4">
        <v>0.0172300475204143</v>
      </c>
      <c r="O293" s="4">
        <v>-0.0784469310611368</v>
      </c>
      <c r="P293" s="4">
        <v>0.01913358</v>
      </c>
      <c r="Q293" t="s">
        <v>179</v>
      </c>
      <c r="R293" s="3">
        <v>249.172406989098</v>
      </c>
      <c r="S293" s="4">
        <v>-0.025814724896936</v>
      </c>
      <c r="T293" s="4">
        <v>-0.0612168835407224</v>
      </c>
      <c r="U293" s="4">
        <v>0.0172300475204143</v>
      </c>
      <c r="V293" s="4">
        <v>-0.0784469310611368</v>
      </c>
      <c r="W293" s="4">
        <v>0.01913358</v>
      </c>
    </row>
    <row r="294" spans="1:23" x14ac:dyDescent="0.25">
      <c r="A294">
        <v>93374</v>
      </c>
      <c r="B294" t="s">
        <v>134</v>
      </c>
      <c r="C294" t="s">
        <v>135</v>
      </c>
      <c r="D294">
        <v>6</v>
      </c>
      <c r="E294" s="1">
        <v>0.0676302640970735</v>
      </c>
      <c r="F294" s="1">
        <v>-0.0230525944866723</v>
      </c>
      <c r="G294" s="1">
        <v>0.4</v>
      </c>
      <c r="H294" s="1">
        <v>0.6</v>
      </c>
      <c r="I294" s="1">
        <v>0.5</v>
      </c>
      <c r="J294" t="s">
        <v>179</v>
      </c>
      <c r="K294" s="3">
        <v>5769.10753616333</v>
      </c>
      <c r="L294" s="4">
        <v>0.0360841953182237</v>
      </c>
      <c r="M294" s="4">
        <v>0.0249303162165926</v>
      </c>
      <c r="N294" s="4">
        <v>0.0172300475204143</v>
      </c>
      <c r="O294" s="4">
        <v>0.00770026869617824</v>
      </c>
      <c r="P294" s="4">
        <v>0.01913358</v>
      </c>
      <c r="Q294" t="s">
        <v>179</v>
      </c>
      <c r="R294" s="3">
        <v>5769.10753616333</v>
      </c>
      <c r="S294" s="4">
        <v>0.0360841953182237</v>
      </c>
      <c r="T294" s="4">
        <v>0.0249303162165926</v>
      </c>
      <c r="U294" s="4">
        <v>0.0172300475204143</v>
      </c>
      <c r="V294" s="4">
        <v>0.00770026869617824</v>
      </c>
      <c r="W294" s="4">
        <v>0.01913358</v>
      </c>
    </row>
    <row r="295" spans="1:23" x14ac:dyDescent="0.25">
      <c r="A295">
        <v>10901</v>
      </c>
      <c r="B295" t="s">
        <v>186</v>
      </c>
      <c r="C295" t="s">
        <v>187</v>
      </c>
      <c r="D295">
        <v>6</v>
      </c>
      <c r="E295" s="1">
        <v>0.0687169145449962</v>
      </c>
      <c r="F295" s="1">
        <v>-0.107194233726043</v>
      </c>
      <c r="G295" s="1">
        <v>0.4</v>
      </c>
      <c r="H295" s="1">
        <v>0.4</v>
      </c>
      <c r="I295" s="1">
        <v>0.4</v>
      </c>
      <c r="J295" t="s">
        <v>179</v>
      </c>
      <c r="K295" s="3">
        <v>348.4534269104</v>
      </c>
      <c r="L295" s="4">
        <v>0.168529590156832</v>
      </c>
      <c r="M295" s="4">
        <v>-0.110021318303905</v>
      </c>
      <c r="N295" s="4">
        <v>0.0172300475204143</v>
      </c>
      <c r="O295" s="4">
        <v>-0.12725136582432</v>
      </c>
      <c r="P295" s="4">
        <v>0.01913358</v>
      </c>
      <c r="Q295" t="s">
        <v>179</v>
      </c>
      <c r="R295" s="3">
        <v>348.4534269104</v>
      </c>
      <c r="S295" s="4">
        <v>0.168529590156832</v>
      </c>
      <c r="T295" s="4">
        <v>-0.110021318303905</v>
      </c>
      <c r="U295" s="4">
        <v>0.0172300475204143</v>
      </c>
      <c r="V295" s="4">
        <v>-0.12725136582432</v>
      </c>
      <c r="W295" s="4">
        <v>0.01913358</v>
      </c>
    </row>
    <row r="296" spans="1:23" x14ac:dyDescent="0.25">
      <c r="A296">
        <v>47626</v>
      </c>
      <c r="B296" t="s">
        <v>77</v>
      </c>
      <c r="C296" t="s">
        <v>78</v>
      </c>
      <c r="D296">
        <v>6</v>
      </c>
      <c r="E296" s="1">
        <v>0.0625824693685203</v>
      </c>
      <c r="F296" s="1">
        <v>-0.248524639114661</v>
      </c>
      <c r="G296" s="1">
        <v>0.6</v>
      </c>
      <c r="H296" s="1">
        <v>0.2</v>
      </c>
      <c r="I296" s="1">
        <v>0.4</v>
      </c>
      <c r="J296" t="s">
        <v>179</v>
      </c>
      <c r="K296" s="3">
        <v>12396.2730428162</v>
      </c>
      <c r="L296" s="4">
        <v>0.0199242014076881</v>
      </c>
      <c r="M296" s="4">
        <v>0.0324645553640952</v>
      </c>
      <c r="N296" s="4">
        <v>0.0172300475204143</v>
      </c>
      <c r="O296" s="4">
        <v>0.0152345078436809</v>
      </c>
      <c r="P296" s="4">
        <v>0.01913358</v>
      </c>
      <c r="Q296" t="s">
        <v>179</v>
      </c>
      <c r="R296" s="3">
        <v>12396.2730428162</v>
      </c>
      <c r="S296" s="4">
        <v>0.0199242014076881</v>
      </c>
      <c r="T296" s="4">
        <v>0.0324645553640952</v>
      </c>
      <c r="U296" s="4">
        <v>0.0172300475204143</v>
      </c>
      <c r="V296" s="4">
        <v>0.0152345078436809</v>
      </c>
      <c r="W296" s="4">
        <v>0.01913358</v>
      </c>
    </row>
    <row r="297" spans="1:23" x14ac:dyDescent="0.25">
      <c r="A297">
        <v>60687</v>
      </c>
      <c r="B297" t="s">
        <v>83</v>
      </c>
      <c r="C297" t="s">
        <v>84</v>
      </c>
      <c r="D297">
        <v>6</v>
      </c>
      <c r="E297" s="1">
        <v>0.0497512437810945</v>
      </c>
      <c r="F297" s="1">
        <v>-0.127061091476298</v>
      </c>
      <c r="G297" s="1">
        <v>0.6</v>
      </c>
      <c r="H297" s="1">
        <v>0.2</v>
      </c>
      <c r="I297" s="1">
        <v>0.4</v>
      </c>
      <c r="J297" t="s">
        <v>179</v>
      </c>
      <c r="K297" s="3">
        <v>9545.39371284485</v>
      </c>
      <c r="L297" s="4">
        <v>0.0537651069104431</v>
      </c>
      <c r="M297" s="4">
        <v>-0.0653122551120772</v>
      </c>
      <c r="N297" s="4">
        <v>0.0172300475204143</v>
      </c>
      <c r="O297" s="4">
        <v>-0.0825423026324915</v>
      </c>
      <c r="P297" s="4">
        <v>0.01913358</v>
      </c>
      <c r="Q297" t="s">
        <v>179</v>
      </c>
      <c r="R297" s="3">
        <v>9545.39371284485</v>
      </c>
      <c r="S297" s="4">
        <v>0.0537651069104431</v>
      </c>
      <c r="T297" s="4">
        <v>-0.0653122551120772</v>
      </c>
      <c r="U297" s="4">
        <v>0.0172300475204143</v>
      </c>
      <c r="V297" s="4">
        <v>-0.0825423026324915</v>
      </c>
      <c r="W297" s="4">
        <v>0.01913358</v>
      </c>
    </row>
    <row r="298" spans="1:23" x14ac:dyDescent="0.25">
      <c r="A298">
        <v>71175</v>
      </c>
      <c r="B298" t="s">
        <v>65</v>
      </c>
      <c r="C298" t="s">
        <v>66</v>
      </c>
      <c r="D298">
        <v>6</v>
      </c>
      <c r="E298" s="1">
        <v>0.0799781380943706</v>
      </c>
      <c r="F298" s="1">
        <v>-0.0728594112620928</v>
      </c>
      <c r="G298" s="1">
        <v>0.4</v>
      </c>
      <c r="H298" s="1">
        <v>0.4</v>
      </c>
      <c r="I298" s="1">
        <v>0.4</v>
      </c>
      <c r="J298" t="s">
        <v>179</v>
      </c>
      <c r="K298" s="3">
        <v>8182.00342126846</v>
      </c>
      <c r="L298" s="4">
        <v>0.0216702572551007</v>
      </c>
      <c r="M298" s="4">
        <v>-0.165456693699086</v>
      </c>
      <c r="N298" s="4">
        <v>0.0172300475204143</v>
      </c>
      <c r="O298" s="4">
        <v>-0.1826867412195</v>
      </c>
      <c r="P298" s="4">
        <v>0.01913358</v>
      </c>
      <c r="Q298" t="s">
        <v>179</v>
      </c>
      <c r="R298" s="3">
        <v>8182.00342126846</v>
      </c>
      <c r="S298" s="4">
        <v>0.0216702572551007</v>
      </c>
      <c r="T298" s="4">
        <v>-0.165456693699086</v>
      </c>
      <c r="U298" s="4">
        <v>0.0172300475204143</v>
      </c>
      <c r="V298" s="4">
        <v>-0.1826867412195</v>
      </c>
      <c r="W298" s="4">
        <v>0.01913358</v>
      </c>
    </row>
    <row r="299" spans="1:23" x14ac:dyDescent="0.25">
      <c r="A299">
        <v>26710</v>
      </c>
      <c r="B299" t="s">
        <v>61</v>
      </c>
      <c r="C299" t="s">
        <v>62</v>
      </c>
      <c r="D299">
        <v>6</v>
      </c>
      <c r="E299" s="1">
        <v>0.0691585048970618</v>
      </c>
      <c r="F299" s="1">
        <v>-0.244885131250326</v>
      </c>
      <c r="G299" s="1">
        <v>0.4</v>
      </c>
      <c r="H299" s="1">
        <v>0.2</v>
      </c>
      <c r="I299" s="1">
        <v>0.3</v>
      </c>
      <c r="J299" t="s">
        <v>179</v>
      </c>
      <c r="K299" s="3">
        <v>15416.8657702026</v>
      </c>
      <c r="L299" s="4">
        <v>0.0288849935218352</v>
      </c>
      <c r="M299" s="4">
        <v>0.0562922421294883</v>
      </c>
      <c r="N299" s="4">
        <v>0.0172300475204143</v>
      </c>
      <c r="O299" s="4">
        <v>0.0390621946090739</v>
      </c>
      <c r="P299" s="4">
        <v>0.01913358</v>
      </c>
      <c r="Q299" t="s">
        <v>179</v>
      </c>
      <c r="R299" s="3">
        <v>15416.8657702026</v>
      </c>
      <c r="S299" s="4">
        <v>0.0288849935218352</v>
      </c>
      <c r="T299" s="4">
        <v>0.0562922421294883</v>
      </c>
      <c r="U299" s="4">
        <v>0.0172300475204143</v>
      </c>
      <c r="V299" s="4">
        <v>0.0390621946090739</v>
      </c>
      <c r="W299" s="4">
        <v>0.01913358</v>
      </c>
    </row>
    <row r="300" spans="1:23" x14ac:dyDescent="0.25">
      <c r="A300">
        <v>43837</v>
      </c>
      <c r="B300" t="s">
        <v>169</v>
      </c>
      <c r="C300" t="s">
        <v>170</v>
      </c>
      <c r="D300">
        <v>6</v>
      </c>
      <c r="E300" s="1">
        <v>0.0972677595628415</v>
      </c>
      <c r="F300" s="1">
        <v>-0.0994387854074507</v>
      </c>
      <c r="G300" s="1">
        <v>0.2</v>
      </c>
      <c r="H300" s="1">
        <v>0.4</v>
      </c>
      <c r="I300" s="1">
        <v>0.3</v>
      </c>
      <c r="J300" t="s">
        <v>179</v>
      </c>
      <c r="K300" s="3">
        <v>491.93375</v>
      </c>
      <c r="L300" s="4">
        <v>0.0260763162131702</v>
      </c>
      <c r="M300" s="4">
        <v>0.00906020038817412</v>
      </c>
      <c r="N300" s="4">
        <v>0.0172300475204143</v>
      </c>
      <c r="O300" s="4">
        <v>-0.00816984713224023</v>
      </c>
      <c r="P300" s="4">
        <v>0.01913358</v>
      </c>
      <c r="Q300" t="s">
        <v>179</v>
      </c>
      <c r="R300" s="3">
        <v>491.93375</v>
      </c>
      <c r="S300" s="4">
        <v>0.0260763162131702</v>
      </c>
      <c r="T300" s="4">
        <v>0.00906020038817412</v>
      </c>
      <c r="U300" s="4">
        <v>0.0172300475204143</v>
      </c>
      <c r="V300" s="4">
        <v>-0.00816984713224023</v>
      </c>
      <c r="W300" s="4">
        <v>0.01913358</v>
      </c>
    </row>
    <row r="301" spans="1:23" x14ac:dyDescent="0.25">
      <c r="A301">
        <v>49015</v>
      </c>
      <c r="B301" t="s">
        <v>81</v>
      </c>
      <c r="C301" t="s">
        <v>82</v>
      </c>
      <c r="D301">
        <v>6</v>
      </c>
      <c r="E301" s="1">
        <v>0.121764017171849</v>
      </c>
      <c r="F301" s="1">
        <v>-0.0516492724534018</v>
      </c>
      <c r="G301" s="1">
        <v>0.2</v>
      </c>
      <c r="H301" s="1">
        <v>0.4</v>
      </c>
      <c r="I301" s="1">
        <v>0.3</v>
      </c>
      <c r="J301" t="s">
        <v>179</v>
      </c>
      <c r="K301" s="3">
        <v>13614.51075</v>
      </c>
      <c r="L301" s="4">
        <v>0.0631459826480573</v>
      </c>
      <c r="M301" s="4">
        <v>-0.0831078844973543</v>
      </c>
      <c r="N301" s="4">
        <v>0.0172300475204143</v>
      </c>
      <c r="O301" s="4">
        <v>-0.100337932017769</v>
      </c>
      <c r="P301" s="4">
        <v>0.01913358</v>
      </c>
      <c r="Q301" t="s">
        <v>179</v>
      </c>
      <c r="R301" s="3">
        <v>13614.51075</v>
      </c>
      <c r="S301" s="4">
        <v>0.0631459826480573</v>
      </c>
      <c r="T301" s="4">
        <v>-0.0831078844973543</v>
      </c>
      <c r="U301" s="4">
        <v>0.0172300475204143</v>
      </c>
      <c r="V301" s="4">
        <v>-0.100337932017769</v>
      </c>
      <c r="W301" s="4">
        <v>0.01913358</v>
      </c>
    </row>
    <row r="302" spans="1:23" x14ac:dyDescent="0.25">
      <c r="A302">
        <v>76804</v>
      </c>
      <c r="B302" t="s">
        <v>107</v>
      </c>
      <c r="C302" t="s">
        <v>108</v>
      </c>
      <c r="D302">
        <v>6</v>
      </c>
      <c r="E302" s="1">
        <v>0.0694542877391921</v>
      </c>
      <c r="F302" s="1">
        <v>-0.111289249616331</v>
      </c>
      <c r="G302" s="1">
        <v>0.4</v>
      </c>
      <c r="H302" s="1">
        <v>0.2</v>
      </c>
      <c r="I302" s="1">
        <v>0.3</v>
      </c>
      <c r="J302" t="s">
        <v>179</v>
      </c>
      <c r="K302" s="3">
        <v>3939.18201812267</v>
      </c>
      <c r="L302" s="4">
        <v>0.00336099495238996</v>
      </c>
      <c r="M302" s="4">
        <v>0.304138563609674</v>
      </c>
      <c r="N302" s="4">
        <v>0.0172300475204143</v>
      </c>
      <c r="O302" s="4">
        <v>0.28690851608926</v>
      </c>
      <c r="P302" s="4">
        <v>0.01913358</v>
      </c>
      <c r="Q302" t="s">
        <v>179</v>
      </c>
      <c r="R302" s="3">
        <v>3939.18201812267</v>
      </c>
      <c r="S302" s="4">
        <v>0.00336099495238996</v>
      </c>
      <c r="T302" s="4">
        <v>0.304138563609674</v>
      </c>
      <c r="U302" s="4">
        <v>0.0172300475204143</v>
      </c>
      <c r="V302" s="4">
        <v>0.28690851608926</v>
      </c>
      <c r="W302" s="4">
        <v>0.01913358</v>
      </c>
    </row>
    <row r="303" spans="1:23" x14ac:dyDescent="0.25">
      <c r="A303">
        <v>79210</v>
      </c>
      <c r="B303" t="s">
        <v>95</v>
      </c>
      <c r="C303" t="s">
        <v>96</v>
      </c>
      <c r="D303">
        <v>6</v>
      </c>
      <c r="E303" s="1">
        <v>0.18136343230937</v>
      </c>
      <c r="F303" s="1">
        <v>-0.0547058655374847</v>
      </c>
      <c r="G303" s="1">
        <v>0.2</v>
      </c>
      <c r="H303" s="1">
        <v>0.4</v>
      </c>
      <c r="I303" s="1">
        <v>0.3</v>
      </c>
      <c r="J303" t="s">
        <v>179</v>
      </c>
      <c r="K303" s="3">
        <v>8612.529764328</v>
      </c>
      <c r="L303" s="4">
        <v>0.0862957992228623</v>
      </c>
      <c r="M303" s="4">
        <v>0.00713606060918126</v>
      </c>
      <c r="N303" s="4">
        <v>0.0172300475204143</v>
      </c>
      <c r="O303" s="4">
        <v>-0.0100939869112331</v>
      </c>
      <c r="P303" s="4">
        <v>0.01913358</v>
      </c>
      <c r="Q303" t="s">
        <v>179</v>
      </c>
      <c r="R303" s="3">
        <v>8612.529764328</v>
      </c>
      <c r="S303" s="4">
        <v>0.0862957992228623</v>
      </c>
      <c r="T303" s="4">
        <v>0.00713606060918126</v>
      </c>
      <c r="U303" s="4">
        <v>0.0172300475204143</v>
      </c>
      <c r="V303" s="4">
        <v>-0.0100939869112331</v>
      </c>
      <c r="W303" s="4">
        <v>0.01913358</v>
      </c>
    </row>
    <row r="304" spans="1:23" x14ac:dyDescent="0.25">
      <c r="A304">
        <v>87842</v>
      </c>
      <c r="B304" t="s">
        <v>51</v>
      </c>
      <c r="C304" t="s">
        <v>52</v>
      </c>
      <c r="D304">
        <v>6</v>
      </c>
      <c r="E304" s="1">
        <v>0.0903876582278481</v>
      </c>
      <c r="F304" s="1">
        <v>-0.143762897179684</v>
      </c>
      <c r="G304" s="1">
        <v>0.4</v>
      </c>
      <c r="H304" s="1">
        <v>0.2</v>
      </c>
      <c r="I304" s="1">
        <v>0.3</v>
      </c>
      <c r="J304" t="s">
        <v>179</v>
      </c>
      <c r="K304" s="3">
        <v>44320.7500488968</v>
      </c>
      <c r="L304" s="4">
        <v>-0.0110600538741879</v>
      </c>
      <c r="M304" s="4">
        <v>0.0428709646209169</v>
      </c>
      <c r="N304" s="4">
        <v>0.0172300475204143</v>
      </c>
      <c r="O304" s="4">
        <v>0.0256409171005025</v>
      </c>
      <c r="P304" s="4">
        <v>0.01913358</v>
      </c>
      <c r="Q304" t="s">
        <v>179</v>
      </c>
      <c r="R304" s="3">
        <v>44320.7500488968</v>
      </c>
      <c r="S304" s="4">
        <v>-0.0110600538741879</v>
      </c>
      <c r="T304" s="4">
        <v>0.0428709646209169</v>
      </c>
      <c r="U304" s="4">
        <v>0.0172300475204143</v>
      </c>
      <c r="V304" s="4">
        <v>0.0256409171005025</v>
      </c>
      <c r="W304" s="4">
        <v>0.01913358</v>
      </c>
    </row>
    <row r="305" spans="1:23" x14ac:dyDescent="0.25">
      <c r="A305">
        <v>90162</v>
      </c>
      <c r="B305" t="s">
        <v>69</v>
      </c>
      <c r="C305" t="s">
        <v>70</v>
      </c>
      <c r="D305">
        <v>6</v>
      </c>
      <c r="E305" s="1">
        <v>0.533762057877814</v>
      </c>
      <c r="F305" s="1">
        <v>-0.0324025976040891</v>
      </c>
      <c r="G305" s="1">
        <v>0.2</v>
      </c>
      <c r="H305" s="1">
        <v>0.4</v>
      </c>
      <c r="I305" s="1">
        <v>0.3</v>
      </c>
      <c r="J305" t="s">
        <v>179</v>
      </c>
      <c r="K305" s="3">
        <v>2252.808</v>
      </c>
      <c r="L305" s="4">
        <v>-0.00144456482484652</v>
      </c>
      <c r="M305" s="4">
        <v>-0.154069757367122</v>
      </c>
      <c r="N305" s="4">
        <v>0.0172300475204143</v>
      </c>
      <c r="O305" s="4">
        <v>-0.171299804887536</v>
      </c>
      <c r="P305" s="4">
        <v>0.01913358</v>
      </c>
      <c r="Q305" t="s">
        <v>179</v>
      </c>
      <c r="R305" s="3">
        <v>2252.808</v>
      </c>
      <c r="S305" s="4">
        <v>-0.00144456482484652</v>
      </c>
      <c r="T305" s="4">
        <v>-0.154069757367122</v>
      </c>
      <c r="U305" s="4">
        <v>0.0172300475204143</v>
      </c>
      <c r="V305" s="4">
        <v>-0.171299804887536</v>
      </c>
      <c r="W305" s="4">
        <v>0.01913358</v>
      </c>
    </row>
    <row r="306" spans="1:23" x14ac:dyDescent="0.25">
      <c r="A306">
        <v>56822</v>
      </c>
      <c r="B306" t="s">
        <v>177</v>
      </c>
      <c r="C306" t="s">
        <v>178</v>
      </c>
      <c r="D306">
        <v>6</v>
      </c>
      <c r="E306" s="1">
        <v>0.0917467222524319</v>
      </c>
      <c r="F306" s="1">
        <v>-0.207804600555446</v>
      </c>
      <c r="G306" s="1">
        <v>0.2</v>
      </c>
      <c r="H306" s="1">
        <v>0.2</v>
      </c>
      <c r="I306" s="1">
        <v>0.2</v>
      </c>
      <c r="J306" t="s">
        <v>179</v>
      </c>
      <c r="K306" s="3">
        <v>1055.74539355469</v>
      </c>
      <c r="L306" s="4">
        <v>0.281490339523541</v>
      </c>
      <c r="M306" s="4">
        <v>-0.142073272628612</v>
      </c>
      <c r="N306" s="4">
        <v>0.0172300475204143</v>
      </c>
      <c r="O306" s="4">
        <v>-0.159303320149026</v>
      </c>
      <c r="P306" s="4">
        <v>0.01913358</v>
      </c>
      <c r="Q306" t="s">
        <v>179</v>
      </c>
      <c r="R306" s="3">
        <v>1055.74539355469</v>
      </c>
      <c r="S306" s="4">
        <v>0.281490339523541</v>
      </c>
      <c r="T306" s="4">
        <v>-0.142073272628612</v>
      </c>
      <c r="U306" s="4">
        <v>0.0172300475204143</v>
      </c>
      <c r="V306" s="4">
        <v>-0.159303320149026</v>
      </c>
      <c r="W306" s="4">
        <v>0.01913358</v>
      </c>
    </row>
    <row r="307" spans="1:23" x14ac:dyDescent="0.25">
      <c r="A307">
        <v>59396</v>
      </c>
      <c r="B307" t="s">
        <v>100</v>
      </c>
      <c r="C307" t="s">
        <v>101</v>
      </c>
      <c r="D307">
        <v>6</v>
      </c>
      <c r="E307" s="1">
        <v>0.100093545369504</v>
      </c>
      <c r="F307" s="1">
        <v>-0.161323041712019</v>
      </c>
      <c r="G307" s="1">
        <v>0.2</v>
      </c>
      <c r="H307" s="1">
        <v>0.2</v>
      </c>
      <c r="I307" s="1">
        <v>0.2</v>
      </c>
      <c r="J307" t="s">
        <v>179</v>
      </c>
      <c r="K307" s="3">
        <v>6016.52321389008</v>
      </c>
      <c r="L307" s="4">
        <v>0.0614524192865012</v>
      </c>
      <c r="M307" s="4">
        <v>0.0911068966333797</v>
      </c>
      <c r="N307" s="4">
        <v>0.0172300475204143</v>
      </c>
      <c r="O307" s="4">
        <v>0.0738768491129653</v>
      </c>
      <c r="P307" s="4">
        <v>0.01913358</v>
      </c>
      <c r="Q307" t="s">
        <v>179</v>
      </c>
      <c r="R307" s="3">
        <v>6016.52321389008</v>
      </c>
      <c r="S307" s="4">
        <v>0.0614524192865012</v>
      </c>
      <c r="T307" s="4">
        <v>0.0911068966333797</v>
      </c>
      <c r="U307" s="4">
        <v>0.0172300475204143</v>
      </c>
      <c r="V307" s="4">
        <v>0.0738768491129653</v>
      </c>
      <c r="W307" s="4">
        <v>0.01913358</v>
      </c>
    </row>
    <row r="308" spans="1:23" x14ac:dyDescent="0.25">
      <c r="A308">
        <v>83720</v>
      </c>
      <c r="B308" t="s">
        <v>136</v>
      </c>
      <c r="C308" t="s">
        <v>137</v>
      </c>
      <c r="D308">
        <v>6</v>
      </c>
      <c r="E308" s="1">
        <v>0.111414213926777</v>
      </c>
      <c r="F308" s="1">
        <v>-0.176369029323174</v>
      </c>
      <c r="G308" s="1">
        <v>0.2</v>
      </c>
      <c r="H308" s="1">
        <v>0.2</v>
      </c>
      <c r="I308" s="1">
        <v>0.2</v>
      </c>
      <c r="J308" t="s">
        <v>179</v>
      </c>
      <c r="K308" s="3">
        <v>1952.8425</v>
      </c>
      <c r="L308" s="4">
        <v>0.0124777330833381</v>
      </c>
      <c r="M308" s="4">
        <v>-0.176652942521013</v>
      </c>
      <c r="N308" s="4">
        <v>0.0172300475204143</v>
      </c>
      <c r="O308" s="4">
        <v>-0.193882990041427</v>
      </c>
      <c r="P308" s="4">
        <v>0.01913358</v>
      </c>
      <c r="Q308" t="s">
        <v>179</v>
      </c>
      <c r="R308" s="3">
        <v>1952.8425</v>
      </c>
      <c r="S308" s="4">
        <v>0.0124777330833381</v>
      </c>
      <c r="T308" s="4">
        <v>-0.176652942521013</v>
      </c>
      <c r="U308" s="4">
        <v>0.0172300475204143</v>
      </c>
      <c r="V308" s="4">
        <v>-0.193882990041427</v>
      </c>
      <c r="W308" s="4">
        <v>0.01913358</v>
      </c>
    </row>
    <row r="309" spans="1:23" x14ac:dyDescent="0.25">
      <c r="A309">
        <v>33770</v>
      </c>
      <c r="B309" t="s">
        <v>182</v>
      </c>
      <c r="C309" t="s">
        <v>183</v>
      </c>
      <c r="D309">
        <v>7</v>
      </c>
      <c r="E309" s="1">
        <v>0.0163934426229508</v>
      </c>
      <c r="F309" s="1">
        <v>0.106024340155073</v>
      </c>
      <c r="G309" s="1">
        <v>1</v>
      </c>
      <c r="H309" s="1">
        <v>1</v>
      </c>
      <c r="I309" s="1">
        <v>1</v>
      </c>
      <c r="J309" t="s">
        <v>188</v>
      </c>
      <c r="K309" s="3">
        <v>93.2037458896637</v>
      </c>
      <c r="L309" s="4">
        <v>0.226401060699156</v>
      </c>
      <c r="M309" s="4">
        <v>-0.489788640933528</v>
      </c>
      <c r="N309" s="4">
        <v>0.0968057735747769</v>
      </c>
      <c r="O309" s="4">
        <v>-0.586594414508305</v>
      </c>
      <c r="P309" s="4">
        <v>0.02884099</v>
      </c>
      <c r="Q309" t="s">
        <v>188</v>
      </c>
      <c r="R309" s="3">
        <v>93.2037458896637</v>
      </c>
      <c r="S309" s="4">
        <v>0.226401060699156</v>
      </c>
      <c r="T309" s="4">
        <v>-0.489788640933528</v>
      </c>
      <c r="U309" s="4">
        <v>0.0968057735747769</v>
      </c>
      <c r="V309" s="4">
        <v>-0.586594414508305</v>
      </c>
      <c r="W309" s="4">
        <v>0.02884099</v>
      </c>
    </row>
    <row r="310" spans="1:23" x14ac:dyDescent="0.25">
      <c r="A310">
        <v>77120</v>
      </c>
      <c r="B310" t="s">
        <v>124</v>
      </c>
      <c r="C310" t="s">
        <v>125</v>
      </c>
      <c r="D310">
        <v>7</v>
      </c>
      <c r="E310" s="1">
        <v>0.0117489986648865</v>
      </c>
      <c r="F310" s="1">
        <v>0.188314340790681</v>
      </c>
      <c r="G310" s="1">
        <v>1</v>
      </c>
      <c r="H310" s="1">
        <v>1</v>
      </c>
      <c r="I310" s="1">
        <v>1</v>
      </c>
      <c r="J310" t="s">
        <v>188</v>
      </c>
      <c r="K310" s="3">
        <v>1658.13498767853</v>
      </c>
      <c r="L310" s="4">
        <v>0.0148387180272565</v>
      </c>
      <c r="M310" s="4">
        <v>-0.0728714937032255</v>
      </c>
      <c r="N310" s="4">
        <v>0.0968057735747769</v>
      </c>
      <c r="O310" s="4">
        <v>-0.169677267278003</v>
      </c>
      <c r="P310" s="4">
        <v>0.02884099</v>
      </c>
      <c r="Q310" t="s">
        <v>188</v>
      </c>
      <c r="R310" s="3">
        <v>1658.13498767853</v>
      </c>
      <c r="S310" s="4">
        <v>0.0148387180272565</v>
      </c>
      <c r="T310" s="4">
        <v>-0.0728714937032255</v>
      </c>
      <c r="U310" s="4">
        <v>0.0968057735747769</v>
      </c>
      <c r="V310" s="4">
        <v>-0.169677267278003</v>
      </c>
      <c r="W310" s="4">
        <v>0.02884099</v>
      </c>
    </row>
    <row r="311" spans="1:23" x14ac:dyDescent="0.25">
      <c r="A311">
        <v>93089</v>
      </c>
      <c r="B311" t="s">
        <v>37</v>
      </c>
      <c r="C311" t="s">
        <v>38</v>
      </c>
      <c r="D311">
        <v>7</v>
      </c>
      <c r="E311" s="1">
        <v>0.0332905355832722</v>
      </c>
      <c r="F311" s="1">
        <v>0.172267843713446</v>
      </c>
      <c r="G311" s="1">
        <v>1</v>
      </c>
      <c r="H311" s="1">
        <v>1</v>
      </c>
      <c r="I311" s="1">
        <v>1</v>
      </c>
      <c r="J311" t="s">
        <v>188</v>
      </c>
      <c r="K311" s="3">
        <v>24001.133600235</v>
      </c>
      <c r="L311" s="4">
        <v>0.116492634719374</v>
      </c>
      <c r="M311" s="4">
        <v>0.241959966060017</v>
      </c>
      <c r="N311" s="4">
        <v>0.0968057735747769</v>
      </c>
      <c r="O311" s="4">
        <v>0.14515419248524</v>
      </c>
      <c r="P311" s="4">
        <v>0.02884099</v>
      </c>
      <c r="Q311" t="s">
        <v>188</v>
      </c>
      <c r="R311" s="3">
        <v>24001.133600235</v>
      </c>
      <c r="S311" s="4">
        <v>0.116492634719374</v>
      </c>
      <c r="T311" s="4">
        <v>0.241959966060017</v>
      </c>
      <c r="U311" s="4">
        <v>0.0968057735747769</v>
      </c>
      <c r="V311" s="4">
        <v>0.14515419248524</v>
      </c>
      <c r="W311" s="4">
        <v>0.02884099</v>
      </c>
    </row>
    <row r="312" spans="1:23" x14ac:dyDescent="0.25">
      <c r="A312">
        <v>13712</v>
      </c>
      <c r="B312" t="s">
        <v>145</v>
      </c>
      <c r="C312" t="s">
        <v>146</v>
      </c>
      <c r="D312">
        <v>7</v>
      </c>
      <c r="E312" s="1">
        <v>0.000601684717208183</v>
      </c>
      <c r="F312" s="1">
        <v>0.0569274330600621</v>
      </c>
      <c r="G312" s="1">
        <v>1</v>
      </c>
      <c r="H312" s="1">
        <v>0.8</v>
      </c>
      <c r="I312" s="1">
        <v>0.9</v>
      </c>
      <c r="J312" t="s">
        <v>188</v>
      </c>
      <c r="K312" s="3">
        <v>616.474069894791</v>
      </c>
      <c r="L312" s="4">
        <v>0.106234528284588</v>
      </c>
      <c r="M312" s="4">
        <v>-0.404318046283665</v>
      </c>
      <c r="N312" s="4">
        <v>0.0968057735747769</v>
      </c>
      <c r="O312" s="4">
        <v>-0.501123819858442</v>
      </c>
      <c r="P312" s="4">
        <v>0.02884099</v>
      </c>
      <c r="Q312" t="s">
        <v>188</v>
      </c>
      <c r="R312" s="3">
        <v>616.474069894791</v>
      </c>
      <c r="S312" s="4">
        <v>0.106234528284588</v>
      </c>
      <c r="T312" s="4">
        <v>-0.404318046283665</v>
      </c>
      <c r="U312" s="4">
        <v>0.0968057735747769</v>
      </c>
      <c r="V312" s="4">
        <v>-0.501123819858442</v>
      </c>
      <c r="W312" s="4">
        <v>0.02884099</v>
      </c>
    </row>
    <row r="313" spans="1:23" x14ac:dyDescent="0.25">
      <c r="A313">
        <v>16171</v>
      </c>
      <c r="B313" t="s">
        <v>180</v>
      </c>
      <c r="C313" t="s">
        <v>181</v>
      </c>
      <c r="D313">
        <v>7</v>
      </c>
      <c r="E313" s="1">
        <v>0.0287976961843053</v>
      </c>
      <c r="F313" s="1">
        <v>0.0453649448791046</v>
      </c>
      <c r="G313" s="1">
        <v>1</v>
      </c>
      <c r="H313" s="1">
        <v>0.8</v>
      </c>
      <c r="I313" s="1">
        <v>0.9</v>
      </c>
      <c r="J313" t="s">
        <v>188</v>
      </c>
      <c r="K313" s="3">
        <v>1953.64695169067</v>
      </c>
      <c r="L313" s="4">
        <v>0.189199897203067</v>
      </c>
      <c r="M313" s="4">
        <v>0.786257182473919</v>
      </c>
      <c r="N313" s="4">
        <v>0.0968057735747769</v>
      </c>
      <c r="O313" s="4">
        <v>0.689451408899142</v>
      </c>
      <c r="P313" s="4">
        <v>0.02884099</v>
      </c>
      <c r="Q313" t="s">
        <v>188</v>
      </c>
      <c r="R313" s="3">
        <v>1953.64695169067</v>
      </c>
      <c r="S313" s="4">
        <v>0.189199897203067</v>
      </c>
      <c r="T313" s="4">
        <v>0.786257182473919</v>
      </c>
      <c r="U313" s="4">
        <v>0.0968057735747769</v>
      </c>
      <c r="V313" s="4">
        <v>0.689451408899142</v>
      </c>
      <c r="W313" s="4">
        <v>0.02884099</v>
      </c>
    </row>
    <row r="314" spans="1:23" x14ac:dyDescent="0.25">
      <c r="A314">
        <v>23473</v>
      </c>
      <c r="B314" t="s">
        <v>23</v>
      </c>
      <c r="C314" t="s">
        <v>24</v>
      </c>
      <c r="D314">
        <v>7</v>
      </c>
      <c r="E314" s="1">
        <v>0.0227331438904676</v>
      </c>
      <c r="F314" s="1">
        <v>0.0362699943205483</v>
      </c>
      <c r="G314" s="1">
        <v>1</v>
      </c>
      <c r="H314" s="1">
        <v>0.8</v>
      </c>
      <c r="I314" s="1">
        <v>0.9</v>
      </c>
      <c r="J314" t="s">
        <v>188</v>
      </c>
      <c r="K314" s="3">
        <v>16929.3107009888</v>
      </c>
      <c r="L314" s="4">
        <v>-0.0566992323796232</v>
      </c>
      <c r="M314" s="4">
        <v>-0.385726972211248</v>
      </c>
      <c r="N314" s="4">
        <v>0.0968057735747769</v>
      </c>
      <c r="O314" s="4">
        <v>-0.482532745786025</v>
      </c>
      <c r="P314" s="4">
        <v>0.02884099</v>
      </c>
      <c r="Q314" t="s">
        <v>188</v>
      </c>
      <c r="R314" s="3">
        <v>16929.3107009888</v>
      </c>
      <c r="S314" s="4">
        <v>-0.0566992323796232</v>
      </c>
      <c r="T314" s="4">
        <v>-0.385726972211248</v>
      </c>
      <c r="U314" s="4">
        <v>0.0968057735747769</v>
      </c>
      <c r="V314" s="4">
        <v>-0.482532745786025</v>
      </c>
      <c r="W314" s="4">
        <v>0.02884099</v>
      </c>
    </row>
    <row r="315" spans="1:23" x14ac:dyDescent="0.25">
      <c r="A315">
        <v>48653</v>
      </c>
      <c r="B315" t="s">
        <v>39</v>
      </c>
      <c r="C315" t="s">
        <v>40</v>
      </c>
      <c r="D315">
        <v>7</v>
      </c>
      <c r="E315" s="1">
        <v>0.0427254956716001</v>
      </c>
      <c r="F315" s="1">
        <v>0.389035127144574</v>
      </c>
      <c r="G315" s="1">
        <v>0.8</v>
      </c>
      <c r="H315" s="1">
        <v>1</v>
      </c>
      <c r="I315" s="1">
        <v>0.9</v>
      </c>
      <c r="J315" t="s">
        <v>188</v>
      </c>
      <c r="K315" s="3">
        <v>35824.7838516235</v>
      </c>
      <c r="L315" s="4">
        <v>0.0591826099903223</v>
      </c>
      <c r="M315" s="4">
        <v>0.69005712810977</v>
      </c>
      <c r="N315" s="4">
        <v>0.0968057735747769</v>
      </c>
      <c r="O315" s="4">
        <v>0.593251354534993</v>
      </c>
      <c r="P315" s="4">
        <v>0.02884099</v>
      </c>
      <c r="Q315" t="s">
        <v>188</v>
      </c>
      <c r="R315" s="3">
        <v>35824.7838516235</v>
      </c>
      <c r="S315" s="4">
        <v>0.0591826099903223</v>
      </c>
      <c r="T315" s="4">
        <v>0.69005712810977</v>
      </c>
      <c r="U315" s="4">
        <v>0.0968057735747769</v>
      </c>
      <c r="V315" s="4">
        <v>0.593251354534993</v>
      </c>
      <c r="W315" s="4">
        <v>0.02884099</v>
      </c>
    </row>
    <row r="316" spans="1:23" x14ac:dyDescent="0.25">
      <c r="A316">
        <v>78156</v>
      </c>
      <c r="B316" t="s">
        <v>116</v>
      </c>
      <c r="C316" t="s">
        <v>117</v>
      </c>
      <c r="D316">
        <v>7</v>
      </c>
      <c r="E316" s="1">
        <v>0.0234624955563455</v>
      </c>
      <c r="F316" s="1">
        <v>0.0452668834449092</v>
      </c>
      <c r="G316" s="1">
        <v>1</v>
      </c>
      <c r="H316" s="1">
        <v>0.8</v>
      </c>
      <c r="I316" s="1">
        <v>0.9</v>
      </c>
      <c r="J316" t="s">
        <v>188</v>
      </c>
      <c r="K316" s="3">
        <v>2829.26644668579</v>
      </c>
      <c r="L316" s="4">
        <v>0.147882243693545</v>
      </c>
      <c r="M316" s="4">
        <v>0.0266184385242498</v>
      </c>
      <c r="N316" s="4">
        <v>0.0968057735747769</v>
      </c>
      <c r="O316" s="4">
        <v>-0.0701873350505271</v>
      </c>
      <c r="P316" s="4">
        <v>0.02884099</v>
      </c>
      <c r="Q316" t="s">
        <v>188</v>
      </c>
      <c r="R316" s="3">
        <v>2829.26644668579</v>
      </c>
      <c r="S316" s="4">
        <v>0.147882243693545</v>
      </c>
      <c r="T316" s="4">
        <v>0.0266184385242498</v>
      </c>
      <c r="U316" s="4">
        <v>0.0968057735747769</v>
      </c>
      <c r="V316" s="4">
        <v>-0.0701873350505271</v>
      </c>
      <c r="W316" s="4">
        <v>0.02884099</v>
      </c>
    </row>
    <row r="317" spans="1:23" x14ac:dyDescent="0.25">
      <c r="A317">
        <v>78693</v>
      </c>
      <c r="B317" t="s">
        <v>153</v>
      </c>
      <c r="C317" t="s">
        <v>154</v>
      </c>
      <c r="D317">
        <v>7</v>
      </c>
      <c r="E317" s="1">
        <v>0.00162308385933273</v>
      </c>
      <c r="F317" s="1">
        <v>0.0358369330104172</v>
      </c>
      <c r="G317" s="1">
        <v>1</v>
      </c>
      <c r="H317" s="1">
        <v>0.8</v>
      </c>
      <c r="I317" s="1">
        <v>0.9</v>
      </c>
      <c r="J317" t="s">
        <v>188</v>
      </c>
      <c r="K317" s="3">
        <v>1223.37267688751</v>
      </c>
      <c r="L317" s="4">
        <v>0.0165558919274233</v>
      </c>
      <c r="M317" s="4">
        <v>-0.414048232209884</v>
      </c>
      <c r="N317" s="4">
        <v>0.0968057735747769</v>
      </c>
      <c r="O317" s="4">
        <v>-0.510854005784661</v>
      </c>
      <c r="P317" s="4">
        <v>0.02884099</v>
      </c>
      <c r="Q317" t="s">
        <v>188</v>
      </c>
      <c r="R317" s="3">
        <v>1223.37267688751</v>
      </c>
      <c r="S317" s="4">
        <v>0.0165558919274233</v>
      </c>
      <c r="T317" s="4">
        <v>-0.414048232209884</v>
      </c>
      <c r="U317" s="4">
        <v>0.0968057735747769</v>
      </c>
      <c r="V317" s="4">
        <v>-0.510854005784661</v>
      </c>
      <c r="W317" s="4">
        <v>0.02884099</v>
      </c>
    </row>
    <row r="318" spans="1:23" x14ac:dyDescent="0.25">
      <c r="A318">
        <v>82486</v>
      </c>
      <c r="B318" t="s">
        <v>47</v>
      </c>
      <c r="C318" t="s">
        <v>48</v>
      </c>
      <c r="D318">
        <v>7</v>
      </c>
      <c r="E318" s="1">
        <v>0.0413322331407996</v>
      </c>
      <c r="F318" s="1">
        <v>0.110331752396017</v>
      </c>
      <c r="G318" s="1">
        <v>0.8</v>
      </c>
      <c r="H318" s="1">
        <v>1</v>
      </c>
      <c r="I318" s="1">
        <v>0.9</v>
      </c>
      <c r="J318" t="s">
        <v>188</v>
      </c>
      <c r="K318" s="3">
        <v>11744.9388636169</v>
      </c>
      <c r="L318" s="4">
        <v>0.408114795475046</v>
      </c>
      <c r="M318" s="4">
        <v>-0.135292727170662</v>
      </c>
      <c r="N318" s="4">
        <v>0.0968057735747769</v>
      </c>
      <c r="O318" s="4">
        <v>-0.232098500745439</v>
      </c>
      <c r="P318" s="4">
        <v>0.02884099</v>
      </c>
      <c r="Q318" t="s">
        <v>188</v>
      </c>
      <c r="R318" s="3">
        <v>11744.9388636169</v>
      </c>
      <c r="S318" s="4">
        <v>0.408114795475046</v>
      </c>
      <c r="T318" s="4">
        <v>-0.135292727170662</v>
      </c>
      <c r="U318" s="4">
        <v>0.0968057735747769</v>
      </c>
      <c r="V318" s="4">
        <v>-0.232098500745439</v>
      </c>
      <c r="W318" s="4">
        <v>0.02884099</v>
      </c>
    </row>
    <row r="319" spans="1:23" x14ac:dyDescent="0.25">
      <c r="A319">
        <v>90038</v>
      </c>
      <c r="B319" t="s">
        <v>73</v>
      </c>
      <c r="C319" t="s">
        <v>74</v>
      </c>
      <c r="D319">
        <v>7</v>
      </c>
      <c r="E319" s="1">
        <v>0.0447227191413238</v>
      </c>
      <c r="F319" s="1">
        <v>0.11110726728745</v>
      </c>
      <c r="G319" s="1">
        <v>0.8</v>
      </c>
      <c r="H319" s="1">
        <v>1</v>
      </c>
      <c r="I319" s="1">
        <v>0.9</v>
      </c>
      <c r="J319" t="s">
        <v>188</v>
      </c>
      <c r="K319" s="3">
        <v>6539.71033115387</v>
      </c>
      <c r="L319" s="4">
        <v>0.255572876071707</v>
      </c>
      <c r="M319" s="4">
        <v>0.0479153816380715</v>
      </c>
      <c r="N319" s="4">
        <v>0.0968057735747769</v>
      </c>
      <c r="O319" s="4">
        <v>-0.0488903919367054</v>
      </c>
      <c r="P319" s="4">
        <v>0.02884099</v>
      </c>
      <c r="Q319" t="s">
        <v>188</v>
      </c>
      <c r="R319" s="3">
        <v>6539.71033115387</v>
      </c>
      <c r="S319" s="4">
        <v>0.255572876071707</v>
      </c>
      <c r="T319" s="4">
        <v>0.0479153816380715</v>
      </c>
      <c r="U319" s="4">
        <v>0.0968057735747769</v>
      </c>
      <c r="V319" s="4">
        <v>-0.0488903919367054</v>
      </c>
      <c r="W319" s="4">
        <v>0.02884099</v>
      </c>
    </row>
    <row r="320" spans="1:23" x14ac:dyDescent="0.25">
      <c r="A320">
        <v>13904</v>
      </c>
      <c r="B320" t="s">
        <v>111</v>
      </c>
      <c r="C320" t="s">
        <v>112</v>
      </c>
      <c r="D320">
        <v>7</v>
      </c>
      <c r="E320" s="1">
        <v>0.0637767812655705</v>
      </c>
      <c r="F320" s="1">
        <v>0.185727096950488</v>
      </c>
      <c r="G320" s="1">
        <v>0.6</v>
      </c>
      <c r="H320" s="1">
        <v>1</v>
      </c>
      <c r="I320" s="1">
        <v>0.8</v>
      </c>
      <c r="J320" t="s">
        <v>188</v>
      </c>
      <c r="K320" s="3">
        <v>7923.05209069061</v>
      </c>
      <c r="L320" s="4">
        <v>-0.0120677651427245</v>
      </c>
      <c r="M320" s="4">
        <v>-0.104973857279943</v>
      </c>
      <c r="N320" s="4">
        <v>0.0968057735747769</v>
      </c>
      <c r="O320" s="4">
        <v>-0.20177963085472</v>
      </c>
      <c r="P320" s="4">
        <v>0.02884099</v>
      </c>
      <c r="Q320" t="s">
        <v>188</v>
      </c>
      <c r="R320" s="3">
        <v>7923.05209069061</v>
      </c>
      <c r="S320" s="4">
        <v>-0.0120677651427245</v>
      </c>
      <c r="T320" s="4">
        <v>-0.104973857279943</v>
      </c>
      <c r="U320" s="4">
        <v>0.0968057735747769</v>
      </c>
      <c r="V320" s="4">
        <v>-0.20177963085472</v>
      </c>
      <c r="W320" s="4">
        <v>0.02884099</v>
      </c>
    </row>
    <row r="321" spans="1:23" x14ac:dyDescent="0.25">
      <c r="A321">
        <v>64186</v>
      </c>
      <c r="B321" t="s">
        <v>189</v>
      </c>
      <c r="C321" t="s">
        <v>190</v>
      </c>
      <c r="D321">
        <v>7</v>
      </c>
      <c r="E321" s="1">
        <v>0.0562868576242628</v>
      </c>
      <c r="F321" s="1">
        <v>0.0997683626311198</v>
      </c>
      <c r="G321" s="1">
        <v>0.6</v>
      </c>
      <c r="H321" s="1">
        <v>1</v>
      </c>
      <c r="I321" s="1">
        <v>0.8</v>
      </c>
      <c r="J321" t="s">
        <v>188</v>
      </c>
      <c r="K321" s="3">
        <v>59783.6090580139</v>
      </c>
      <c r="L321" s="4">
        <v>0.165152825836217</v>
      </c>
      <c r="M321" s="4">
        <v>0.333364068496586</v>
      </c>
      <c r="N321" s="4">
        <v>0.0968057735747769</v>
      </c>
      <c r="O321" s="4">
        <v>0.236558294921809</v>
      </c>
      <c r="P321" s="4">
        <v>0.02884099</v>
      </c>
      <c r="Q321" t="s">
        <v>188</v>
      </c>
      <c r="R321" s="3">
        <v>59783.6090580139</v>
      </c>
      <c r="S321" s="4">
        <v>0.165152825836217</v>
      </c>
      <c r="T321" s="4">
        <v>0.333364068496586</v>
      </c>
      <c r="U321" s="4">
        <v>0.0968057735747769</v>
      </c>
      <c r="V321" s="4">
        <v>0.236558294921809</v>
      </c>
      <c r="W321" s="4">
        <v>0.02884099</v>
      </c>
    </row>
    <row r="322" spans="1:23" x14ac:dyDescent="0.25">
      <c r="A322">
        <v>65294</v>
      </c>
      <c r="B322" t="s">
        <v>191</v>
      </c>
      <c r="C322" t="s">
        <v>192</v>
      </c>
      <c r="D322">
        <v>7</v>
      </c>
      <c r="E322" s="1">
        <v>0.0210175387737353</v>
      </c>
      <c r="F322" s="1">
        <v>-0.00313272157762529</v>
      </c>
      <c r="G322" s="1">
        <v>1</v>
      </c>
      <c r="H322" s="1">
        <v>0.6</v>
      </c>
      <c r="I322" s="1">
        <v>0.8</v>
      </c>
      <c r="J322" t="s">
        <v>188</v>
      </c>
      <c r="K322" s="3">
        <v>3818.72329920959</v>
      </c>
      <c r="L322" s="4">
        <v>0.0273294888944679</v>
      </c>
      <c r="M322" s="4">
        <v>-0.0603396501424774</v>
      </c>
      <c r="N322" s="4">
        <v>0.0968057735747769</v>
      </c>
      <c r="O322" s="4">
        <v>-0.157145423717254</v>
      </c>
      <c r="P322" s="4">
        <v>0.02884099</v>
      </c>
      <c r="Q322" t="s">
        <v>188</v>
      </c>
      <c r="R322" s="3">
        <v>3818.72329920959</v>
      </c>
      <c r="S322" s="4">
        <v>0.0273294888944679</v>
      </c>
      <c r="T322" s="4">
        <v>-0.0603396501424774</v>
      </c>
      <c r="U322" s="4">
        <v>0.0968057735747769</v>
      </c>
      <c r="V322" s="4">
        <v>-0.157145423717254</v>
      </c>
      <c r="W322" s="4">
        <v>0.02884099</v>
      </c>
    </row>
    <row r="323" spans="1:23" x14ac:dyDescent="0.25">
      <c r="A323">
        <v>66800</v>
      </c>
      <c r="B323" t="s">
        <v>87</v>
      </c>
      <c r="C323" t="s">
        <v>88</v>
      </c>
      <c r="D323">
        <v>7</v>
      </c>
      <c r="E323" s="1">
        <v>0.00101497081958894</v>
      </c>
      <c r="F323" s="1">
        <v>-0.00125700096530079</v>
      </c>
      <c r="G323" s="1">
        <v>1</v>
      </c>
      <c r="H323" s="1">
        <v>0.6</v>
      </c>
      <c r="I323" s="1">
        <v>0.8</v>
      </c>
      <c r="J323" t="s">
        <v>188</v>
      </c>
      <c r="K323" s="3">
        <v>46340.4920582886</v>
      </c>
      <c r="L323" s="4">
        <v>-0.0294669822871602</v>
      </c>
      <c r="M323" s="4">
        <v>-0.392838715192269</v>
      </c>
      <c r="N323" s="4">
        <v>0.0968057735747769</v>
      </c>
      <c r="O323" s="4">
        <v>-0.489644488767046</v>
      </c>
      <c r="P323" s="4">
        <v>0.02884099</v>
      </c>
      <c r="Q323" t="s">
        <v>188</v>
      </c>
      <c r="R323" s="3">
        <v>46340.4920582886</v>
      </c>
      <c r="S323" s="4">
        <v>-0.0294669822871602</v>
      </c>
      <c r="T323" s="4">
        <v>-0.392838715192269</v>
      </c>
      <c r="U323" s="4">
        <v>0.0968057735747769</v>
      </c>
      <c r="V323" s="4">
        <v>-0.489644488767046</v>
      </c>
      <c r="W323" s="4">
        <v>0.02884099</v>
      </c>
    </row>
    <row r="324" spans="1:23" x14ac:dyDescent="0.25">
      <c r="A324">
        <v>72980</v>
      </c>
      <c r="B324" t="s">
        <v>151</v>
      </c>
      <c r="C324" t="s">
        <v>152</v>
      </c>
      <c r="D324">
        <v>7</v>
      </c>
      <c r="E324" s="1">
        <v>0.048792270531401</v>
      </c>
      <c r="F324" s="1">
        <v>0.0502696132631252</v>
      </c>
      <c r="G324" s="1">
        <v>0.8</v>
      </c>
      <c r="H324" s="1">
        <v>0.8</v>
      </c>
      <c r="I324" s="1">
        <v>0.8</v>
      </c>
      <c r="J324" t="s">
        <v>188</v>
      </c>
      <c r="K324" s="3">
        <v>959.613039779663</v>
      </c>
      <c r="L324" s="4">
        <v>-0.0251503844807719</v>
      </c>
      <c r="M324" s="4">
        <v>-0.225063530546241</v>
      </c>
      <c r="N324" s="4">
        <v>0.0968057735747769</v>
      </c>
      <c r="O324" s="4">
        <v>-0.321869304121017</v>
      </c>
      <c r="P324" s="4">
        <v>0.02884099</v>
      </c>
      <c r="Q324" t="s">
        <v>188</v>
      </c>
      <c r="R324" s="3">
        <v>959.613039779663</v>
      </c>
      <c r="S324" s="4">
        <v>-0.0251503844807719</v>
      </c>
      <c r="T324" s="4">
        <v>-0.225063530546241</v>
      </c>
      <c r="U324" s="4">
        <v>0.0968057735747769</v>
      </c>
      <c r="V324" s="4">
        <v>-0.321869304121017</v>
      </c>
      <c r="W324" s="4">
        <v>0.02884099</v>
      </c>
    </row>
    <row r="325" spans="1:23" x14ac:dyDescent="0.25">
      <c r="A325">
        <v>76721</v>
      </c>
      <c r="B325" t="s">
        <v>193</v>
      </c>
      <c r="C325" t="s">
        <v>194</v>
      </c>
      <c r="D325">
        <v>7</v>
      </c>
      <c r="E325" s="1">
        <v>0.0375865479723047</v>
      </c>
      <c r="F325" s="1">
        <v>0.0318741706735622</v>
      </c>
      <c r="G325" s="1">
        <v>0.8</v>
      </c>
      <c r="H325" s="1">
        <v>0.8</v>
      </c>
      <c r="I325" s="1">
        <v>0.8</v>
      </c>
      <c r="J325" t="s">
        <v>188</v>
      </c>
      <c r="K325" s="3">
        <v>1612.29533958435</v>
      </c>
      <c r="L325" s="4">
        <v>0.076470157282055</v>
      </c>
      <c r="M325" s="4">
        <v>-0.0823196047546735</v>
      </c>
      <c r="N325" s="4">
        <v>0.0968057735747769</v>
      </c>
      <c r="O325" s="4">
        <v>-0.17912537832945</v>
      </c>
      <c r="P325" s="4">
        <v>0.02884099</v>
      </c>
      <c r="Q325" t="s">
        <v>188</v>
      </c>
      <c r="R325" s="3">
        <v>1612.29533958435</v>
      </c>
      <c r="S325" s="4">
        <v>0.076470157282055</v>
      </c>
      <c r="T325" s="4">
        <v>-0.0823196047546735</v>
      </c>
      <c r="U325" s="4">
        <v>0.0968057735747769</v>
      </c>
      <c r="V325" s="4">
        <v>-0.17912537832945</v>
      </c>
      <c r="W325" s="4">
        <v>0.02884099</v>
      </c>
    </row>
    <row r="326" spans="1:23" x14ac:dyDescent="0.25">
      <c r="A326">
        <v>76722</v>
      </c>
      <c r="B326" t="s">
        <v>143</v>
      </c>
      <c r="C326" t="s">
        <v>144</v>
      </c>
      <c r="D326">
        <v>7</v>
      </c>
      <c r="E326" s="1">
        <v>0.00881316098707403</v>
      </c>
      <c r="F326" s="1">
        <v>0.00441794174581189</v>
      </c>
      <c r="G326" s="1">
        <v>1</v>
      </c>
      <c r="H326" s="1">
        <v>0.6</v>
      </c>
      <c r="I326" s="1">
        <v>0.8</v>
      </c>
      <c r="J326" t="s">
        <v>188</v>
      </c>
      <c r="K326" s="3">
        <v>1522.5</v>
      </c>
      <c r="L326" s="4">
        <v>-0.102371068739886</v>
      </c>
      <c r="M326" s="4">
        <v>-0.40930718625896</v>
      </c>
      <c r="N326" s="4">
        <v>0.0968057735747769</v>
      </c>
      <c r="O326" s="4">
        <v>-0.506112959833737</v>
      </c>
      <c r="P326" s="4">
        <v>0.02884099</v>
      </c>
      <c r="Q326" t="s">
        <v>188</v>
      </c>
      <c r="R326" s="3">
        <v>1522.5</v>
      </c>
      <c r="S326" s="4">
        <v>-0.102371068739886</v>
      </c>
      <c r="T326" s="4">
        <v>-0.40930718625896</v>
      </c>
      <c r="U326" s="4">
        <v>0.0968057735747769</v>
      </c>
      <c r="V326" s="4">
        <v>-0.506112959833737</v>
      </c>
      <c r="W326" s="4">
        <v>0.02884099</v>
      </c>
    </row>
    <row r="327" spans="1:23" x14ac:dyDescent="0.25">
      <c r="A327">
        <v>82292</v>
      </c>
      <c r="B327" t="s">
        <v>19</v>
      </c>
      <c r="C327" t="s">
        <v>20</v>
      </c>
      <c r="D327">
        <v>7</v>
      </c>
      <c r="E327" s="1">
        <v>0.0482144386400617</v>
      </c>
      <c r="F327" s="1">
        <v>0.0355567382204177</v>
      </c>
      <c r="G327" s="1">
        <v>0.8</v>
      </c>
      <c r="H327" s="1">
        <v>0.8</v>
      </c>
      <c r="I327" s="1">
        <v>0.8</v>
      </c>
      <c r="J327" t="s">
        <v>188</v>
      </c>
      <c r="K327" s="3">
        <v>5221.93842420959</v>
      </c>
      <c r="L327" s="4">
        <v>-0.133110871074763</v>
      </c>
      <c r="M327" s="4">
        <v>-0.145849656025005</v>
      </c>
      <c r="N327" s="4">
        <v>0.0968057735747769</v>
      </c>
      <c r="O327" s="4">
        <v>-0.242655429599782</v>
      </c>
      <c r="P327" s="4">
        <v>0.02884099</v>
      </c>
      <c r="Q327" t="s">
        <v>188</v>
      </c>
      <c r="R327" s="3">
        <v>5221.93842420959</v>
      </c>
      <c r="S327" s="4">
        <v>-0.133110871074763</v>
      </c>
      <c r="T327" s="4">
        <v>-0.145849656025005</v>
      </c>
      <c r="U327" s="4">
        <v>0.0968057735747769</v>
      </c>
      <c r="V327" s="4">
        <v>-0.242655429599782</v>
      </c>
      <c r="W327" s="4">
        <v>0.02884099</v>
      </c>
    </row>
    <row r="328" spans="1:23" x14ac:dyDescent="0.25">
      <c r="A328">
        <v>86435</v>
      </c>
      <c r="B328" t="s">
        <v>195</v>
      </c>
      <c r="C328" t="s">
        <v>196</v>
      </c>
      <c r="D328">
        <v>7</v>
      </c>
      <c r="E328" s="1">
        <v>0.0587349397590361</v>
      </c>
      <c r="F328" s="1">
        <v>0.214654541278635</v>
      </c>
      <c r="G328" s="1">
        <v>0.6</v>
      </c>
      <c r="H328" s="1">
        <v>1</v>
      </c>
      <c r="I328" s="1">
        <v>0.8</v>
      </c>
      <c r="J328" t="s">
        <v>188</v>
      </c>
      <c r="K328" s="3">
        <v>183.355235881805</v>
      </c>
      <c r="L328" s="4">
        <v>0.0156637729060866</v>
      </c>
      <c r="M328" s="4">
        <v>-0.0739082923105904</v>
      </c>
      <c r="N328" s="4">
        <v>0.0968057735747769</v>
      </c>
      <c r="O328" s="4">
        <v>-0.170714065885367</v>
      </c>
      <c r="P328" s="4">
        <v>0.02884099</v>
      </c>
      <c r="Q328" t="s">
        <v>188</v>
      </c>
      <c r="R328" s="3">
        <v>183.355235881805</v>
      </c>
      <c r="S328" s="4">
        <v>0.0156637729060866</v>
      </c>
      <c r="T328" s="4">
        <v>-0.0739082923105904</v>
      </c>
      <c r="U328" s="4">
        <v>0.0968057735747769</v>
      </c>
      <c r="V328" s="4">
        <v>-0.170714065885367</v>
      </c>
      <c r="W328" s="4">
        <v>0.02884099</v>
      </c>
    </row>
    <row r="329" spans="1:23" x14ac:dyDescent="0.25">
      <c r="A329">
        <v>89179</v>
      </c>
      <c r="B329" t="s">
        <v>118</v>
      </c>
      <c r="C329" t="s">
        <v>119</v>
      </c>
      <c r="D329">
        <v>7</v>
      </c>
      <c r="E329" s="1">
        <v>0.0553249819137189</v>
      </c>
      <c r="F329" s="1">
        <v>0.267306973331933</v>
      </c>
      <c r="G329" s="1">
        <v>0.6</v>
      </c>
      <c r="H329" s="1">
        <v>1</v>
      </c>
      <c r="I329" s="1">
        <v>0.8</v>
      </c>
      <c r="J329" t="s">
        <v>188</v>
      </c>
      <c r="K329" s="3">
        <v>72583.2809622803</v>
      </c>
      <c r="L329" s="4">
        <v>0.0229410680213329</v>
      </c>
      <c r="M329" s="4">
        <v>0.0718461616902706</v>
      </c>
      <c r="N329" s="4">
        <v>0.0968057735747769</v>
      </c>
      <c r="O329" s="4">
        <v>-0.0249596118845063</v>
      </c>
      <c r="P329" s="4">
        <v>0.02884099</v>
      </c>
      <c r="Q329" t="s">
        <v>188</v>
      </c>
      <c r="R329" s="3">
        <v>72583.2809622803</v>
      </c>
      <c r="S329" s="4">
        <v>0.0229410680213329</v>
      </c>
      <c r="T329" s="4">
        <v>0.0718461616902706</v>
      </c>
      <c r="U329" s="4">
        <v>0.0968057735747769</v>
      </c>
      <c r="V329" s="4">
        <v>-0.0249596118845063</v>
      </c>
      <c r="W329" s="4">
        <v>0.02884099</v>
      </c>
    </row>
    <row r="330" spans="1:23" x14ac:dyDescent="0.25">
      <c r="A330">
        <v>92655</v>
      </c>
      <c r="B330" t="s">
        <v>91</v>
      </c>
      <c r="C330" t="s">
        <v>92</v>
      </c>
      <c r="D330">
        <v>7</v>
      </c>
      <c r="E330" s="1">
        <v>0.04997591522158</v>
      </c>
      <c r="F330" s="1">
        <v>0.228749016999439</v>
      </c>
      <c r="G330" s="1">
        <v>0.6</v>
      </c>
      <c r="H330" s="1">
        <v>1</v>
      </c>
      <c r="I330" s="1">
        <v>0.8</v>
      </c>
      <c r="J330" t="s">
        <v>188</v>
      </c>
      <c r="K330" s="3">
        <v>231893.19020961</v>
      </c>
      <c r="L330" s="4">
        <v>0.124717263458259</v>
      </c>
      <c r="M330" s="4">
        <v>0.28283299256277</v>
      </c>
      <c r="N330" s="4">
        <v>0.0968057735747769</v>
      </c>
      <c r="O330" s="4">
        <v>0.186027218987993</v>
      </c>
      <c r="P330" s="4">
        <v>0.02884099</v>
      </c>
      <c r="Q330" t="s">
        <v>188</v>
      </c>
      <c r="R330" s="3">
        <v>231893.19020961</v>
      </c>
      <c r="S330" s="4">
        <v>0.124717263458259</v>
      </c>
      <c r="T330" s="4">
        <v>0.28283299256277</v>
      </c>
      <c r="U330" s="4">
        <v>0.0968057735747769</v>
      </c>
      <c r="V330" s="4">
        <v>0.186027218987993</v>
      </c>
      <c r="W330" s="4">
        <v>0.02884099</v>
      </c>
    </row>
    <row r="331" spans="1:23" x14ac:dyDescent="0.25">
      <c r="A331">
        <v>38093</v>
      </c>
      <c r="B331" t="s">
        <v>25</v>
      </c>
      <c r="C331" t="s">
        <v>26</v>
      </c>
      <c r="D331">
        <v>7</v>
      </c>
      <c r="E331" s="1">
        <v>0.0470827679782904</v>
      </c>
      <c r="F331" s="1">
        <v>-0.018616633283817</v>
      </c>
      <c r="G331" s="1">
        <v>0.8</v>
      </c>
      <c r="H331" s="1">
        <v>0.6</v>
      </c>
      <c r="I331" s="1">
        <v>0.7</v>
      </c>
      <c r="J331" t="s">
        <v>188</v>
      </c>
      <c r="K331" s="3">
        <v>16226.2220015869</v>
      </c>
      <c r="L331" s="4">
        <v>0.124066497824534</v>
      </c>
      <c r="M331" s="4">
        <v>0.141988983985379</v>
      </c>
      <c r="N331" s="4">
        <v>0.0968057735747769</v>
      </c>
      <c r="O331" s="4">
        <v>0.0451832104106022</v>
      </c>
      <c r="P331" s="4">
        <v>0.02884099</v>
      </c>
      <c r="Q331" t="s">
        <v>188</v>
      </c>
      <c r="R331" s="3">
        <v>16226.2220015869</v>
      </c>
      <c r="S331" s="4">
        <v>0.124066497824534</v>
      </c>
      <c r="T331" s="4">
        <v>0.141988983985379</v>
      </c>
      <c r="U331" s="4">
        <v>0.0968057735747769</v>
      </c>
      <c r="V331" s="4">
        <v>0.0451832104106022</v>
      </c>
      <c r="W331" s="4">
        <v>0.02884099</v>
      </c>
    </row>
    <row r="332" spans="1:23" x14ac:dyDescent="0.25">
      <c r="A332">
        <v>68292</v>
      </c>
      <c r="B332" t="s">
        <v>132</v>
      </c>
      <c r="C332" t="s">
        <v>133</v>
      </c>
      <c r="D332">
        <v>7</v>
      </c>
      <c r="E332" s="1">
        <v>0.0498851329176239</v>
      </c>
      <c r="F332" s="1">
        <v>0.0107874711513983</v>
      </c>
      <c r="G332" s="1">
        <v>0.8</v>
      </c>
      <c r="H332" s="1">
        <v>0.6</v>
      </c>
      <c r="I332" s="1">
        <v>0.7</v>
      </c>
      <c r="J332" t="s">
        <v>188</v>
      </c>
      <c r="K332" s="3">
        <v>4443.07388378906</v>
      </c>
      <c r="L332" s="4">
        <v>0.0452433404568696</v>
      </c>
      <c r="M332" s="4">
        <v>-0.257302682439548</v>
      </c>
      <c r="N332" s="4">
        <v>0.0968057735747769</v>
      </c>
      <c r="O332" s="4">
        <v>-0.354108456014325</v>
      </c>
      <c r="P332" s="4">
        <v>0.02884099</v>
      </c>
      <c r="Q332" t="s">
        <v>188</v>
      </c>
      <c r="R332" s="3">
        <v>4443.07388378906</v>
      </c>
      <c r="S332" s="4">
        <v>0.0452433404568696</v>
      </c>
      <c r="T332" s="4">
        <v>-0.257302682439548</v>
      </c>
      <c r="U332" s="4">
        <v>0.0968057735747769</v>
      </c>
      <c r="V332" s="4">
        <v>-0.354108456014325</v>
      </c>
      <c r="W332" s="4">
        <v>0.02884099</v>
      </c>
    </row>
    <row r="333" spans="1:23" x14ac:dyDescent="0.25">
      <c r="A333">
        <v>71271</v>
      </c>
      <c r="B333" t="s">
        <v>93</v>
      </c>
      <c r="C333" t="s">
        <v>94</v>
      </c>
      <c r="D333">
        <v>7</v>
      </c>
      <c r="E333" s="1">
        <v>0.00420329846627735</v>
      </c>
      <c r="F333" s="1">
        <v>-0.0342121652257177</v>
      </c>
      <c r="G333" s="1">
        <v>1</v>
      </c>
      <c r="H333" s="1">
        <v>0.4</v>
      </c>
      <c r="I333" s="1">
        <v>0.7</v>
      </c>
      <c r="J333" t="s">
        <v>188</v>
      </c>
      <c r="K333" s="3">
        <v>9836.59040844727</v>
      </c>
      <c r="L333" s="4">
        <v>0.0701231734743046</v>
      </c>
      <c r="M333" s="4">
        <v>-0.205436322473871</v>
      </c>
      <c r="N333" s="4">
        <v>0.0968057735747769</v>
      </c>
      <c r="O333" s="4">
        <v>-0.302242096048647</v>
      </c>
      <c r="P333" s="4">
        <v>0.02884099</v>
      </c>
      <c r="Q333" t="s">
        <v>188</v>
      </c>
      <c r="R333" s="3">
        <v>9836.59040844727</v>
      </c>
      <c r="S333" s="4">
        <v>0.0701231734743046</v>
      </c>
      <c r="T333" s="4">
        <v>-0.205436322473871</v>
      </c>
      <c r="U333" s="4">
        <v>0.0968057735747769</v>
      </c>
      <c r="V333" s="4">
        <v>-0.302242096048647</v>
      </c>
      <c r="W333" s="4">
        <v>0.02884099</v>
      </c>
    </row>
    <row r="334" spans="1:23" x14ac:dyDescent="0.25">
      <c r="A334">
        <v>76838</v>
      </c>
      <c r="B334" t="s">
        <v>130</v>
      </c>
      <c r="C334" t="s">
        <v>131</v>
      </c>
      <c r="D334">
        <v>7</v>
      </c>
      <c r="E334" s="1">
        <v>0.0216962524654832</v>
      </c>
      <c r="F334" s="1">
        <v>-0.0723984841175924</v>
      </c>
      <c r="G334" s="1">
        <v>1</v>
      </c>
      <c r="H334" s="1">
        <v>0.4</v>
      </c>
      <c r="I334" s="1">
        <v>0.7</v>
      </c>
      <c r="J334" t="s">
        <v>188</v>
      </c>
      <c r="K334" s="3">
        <v>1940.62365280151</v>
      </c>
      <c r="L334" s="4">
        <v>-0.0186172422387771</v>
      </c>
      <c r="M334" s="4">
        <v>-0.61830132623728</v>
      </c>
      <c r="N334" s="4">
        <v>0.0968057735747769</v>
      </c>
      <c r="O334" s="4">
        <v>-0.715107099812057</v>
      </c>
      <c r="P334" s="4">
        <v>0.02884099</v>
      </c>
      <c r="Q334" t="s">
        <v>188</v>
      </c>
      <c r="R334" s="3">
        <v>1940.62365280151</v>
      </c>
      <c r="S334" s="4">
        <v>-0.0186172422387771</v>
      </c>
      <c r="T334" s="4">
        <v>-0.61830132623728</v>
      </c>
      <c r="U334" s="4">
        <v>0.0968057735747769</v>
      </c>
      <c r="V334" s="4">
        <v>-0.715107099812057</v>
      </c>
      <c r="W334" s="4">
        <v>0.02884099</v>
      </c>
    </row>
    <row r="335" spans="1:23" x14ac:dyDescent="0.25">
      <c r="A335">
        <v>79323</v>
      </c>
      <c r="B335" t="s">
        <v>45</v>
      </c>
      <c r="C335" t="s">
        <v>46</v>
      </c>
      <c r="D335">
        <v>7</v>
      </c>
      <c r="E335" s="1">
        <v>0.0732179595788455</v>
      </c>
      <c r="F335" s="1">
        <v>0.142626344953861</v>
      </c>
      <c r="G335" s="1">
        <v>0.4</v>
      </c>
      <c r="H335" s="1">
        <v>1</v>
      </c>
      <c r="I335" s="1">
        <v>0.7</v>
      </c>
      <c r="J335" t="s">
        <v>188</v>
      </c>
      <c r="K335" s="3">
        <v>33873.6516432495</v>
      </c>
      <c r="L335" s="4">
        <v>0.0404398160384839</v>
      </c>
      <c r="M335" s="4">
        <v>0.044742831602864</v>
      </c>
      <c r="N335" s="4">
        <v>0.0968057735747769</v>
      </c>
      <c r="O335" s="4">
        <v>-0.052062941971913</v>
      </c>
      <c r="P335" s="4">
        <v>0.02884099</v>
      </c>
      <c r="Q335" t="s">
        <v>188</v>
      </c>
      <c r="R335" s="3">
        <v>33873.6516432495</v>
      </c>
      <c r="S335" s="4">
        <v>0.0404398160384839</v>
      </c>
      <c r="T335" s="4">
        <v>0.044742831602864</v>
      </c>
      <c r="U335" s="4">
        <v>0.0968057735747769</v>
      </c>
      <c r="V335" s="4">
        <v>-0.052062941971913</v>
      </c>
      <c r="W335" s="4">
        <v>0.02884099</v>
      </c>
    </row>
    <row r="336" spans="1:23" x14ac:dyDescent="0.25">
      <c r="A336">
        <v>90963</v>
      </c>
      <c r="B336" t="s">
        <v>159</v>
      </c>
      <c r="C336" t="s">
        <v>160</v>
      </c>
      <c r="D336">
        <v>7</v>
      </c>
      <c r="E336" s="1">
        <v>0.0657964367613336</v>
      </c>
      <c r="F336" s="1">
        <v>0.0389481643157478</v>
      </c>
      <c r="G336" s="1">
        <v>0.6</v>
      </c>
      <c r="H336" s="1">
        <v>0.8</v>
      </c>
      <c r="I336" s="1">
        <v>0.7</v>
      </c>
      <c r="J336" t="s">
        <v>188</v>
      </c>
      <c r="K336" s="3">
        <v>1230.63346883392</v>
      </c>
      <c r="L336" s="4">
        <v>0.00678290441568399</v>
      </c>
      <c r="M336" s="4">
        <v>0.100821493232654</v>
      </c>
      <c r="N336" s="4">
        <v>0.0968057735747769</v>
      </c>
      <c r="O336" s="4">
        <v>0.00401571965787695</v>
      </c>
      <c r="P336" s="4">
        <v>0.02884099</v>
      </c>
      <c r="Q336" t="s">
        <v>188</v>
      </c>
      <c r="R336" s="3">
        <v>1230.63346883392</v>
      </c>
      <c r="S336" s="4">
        <v>0.00678290441568399</v>
      </c>
      <c r="T336" s="4">
        <v>0.100821493232654</v>
      </c>
      <c r="U336" s="4">
        <v>0.0968057735747769</v>
      </c>
      <c r="V336" s="4">
        <v>0.00401571965787695</v>
      </c>
      <c r="W336" s="4">
        <v>0.02884099</v>
      </c>
    </row>
    <row r="337" spans="1:23" x14ac:dyDescent="0.25">
      <c r="A337">
        <v>91498</v>
      </c>
      <c r="B337" t="s">
        <v>197</v>
      </c>
      <c r="C337" t="s">
        <v>198</v>
      </c>
      <c r="D337">
        <v>7</v>
      </c>
      <c r="E337" s="1">
        <v>0.000260281103591879</v>
      </c>
      <c r="F337" s="1">
        <v>-0.0731688143592407</v>
      </c>
      <c r="G337" s="1">
        <v>1</v>
      </c>
      <c r="H337" s="1">
        <v>0.4</v>
      </c>
      <c r="I337" s="1">
        <v>0.7</v>
      </c>
      <c r="J337" t="s">
        <v>188</v>
      </c>
      <c r="K337" s="3">
        <v>1963.59656520081</v>
      </c>
      <c r="L337" s="4">
        <v>0.458588378637115</v>
      </c>
      <c r="M337" s="4">
        <v>0.848356059461332</v>
      </c>
      <c r="N337" s="4">
        <v>0.0968057735747769</v>
      </c>
      <c r="O337" s="4">
        <v>0.751550285886555</v>
      </c>
      <c r="P337" s="4">
        <v>0.02884099</v>
      </c>
      <c r="Q337" t="s">
        <v>188</v>
      </c>
      <c r="R337" s="3">
        <v>1963.59656520081</v>
      </c>
      <c r="S337" s="4">
        <v>0.458588378637115</v>
      </c>
      <c r="T337" s="4">
        <v>0.848356059461332</v>
      </c>
      <c r="U337" s="4">
        <v>0.0968057735747769</v>
      </c>
      <c r="V337" s="4">
        <v>0.751550285886555</v>
      </c>
      <c r="W337" s="4">
        <v>0.02884099</v>
      </c>
    </row>
    <row r="338" spans="1:23" x14ac:dyDescent="0.25">
      <c r="A338">
        <v>93330</v>
      </c>
      <c r="B338" t="s">
        <v>138</v>
      </c>
      <c r="C338" t="s">
        <v>139</v>
      </c>
      <c r="D338">
        <v>7</v>
      </c>
      <c r="E338" s="1">
        <v>0.0752225974823457</v>
      </c>
      <c r="F338" s="1">
        <v>0.152550077155326</v>
      </c>
      <c r="G338" s="1">
        <v>0.4</v>
      </c>
      <c r="H338" s="1">
        <v>1</v>
      </c>
      <c r="I338" s="1">
        <v>0.7</v>
      </c>
      <c r="J338" t="s">
        <v>188</v>
      </c>
      <c r="K338" s="3">
        <v>5078.80282078552</v>
      </c>
      <c r="L338" s="4">
        <v>0.124765111876015</v>
      </c>
      <c r="M338" s="4">
        <v>0.00180919203182062</v>
      </c>
      <c r="N338" s="4">
        <v>0.0968057735747769</v>
      </c>
      <c r="O338" s="4">
        <v>-0.0949965815429563</v>
      </c>
      <c r="P338" s="4">
        <v>0.02884099</v>
      </c>
      <c r="Q338" t="s">
        <v>188</v>
      </c>
      <c r="R338" s="3">
        <v>5078.80282078552</v>
      </c>
      <c r="S338" s="4">
        <v>0.124765111876015</v>
      </c>
      <c r="T338" s="4">
        <v>0.00180919203182062</v>
      </c>
      <c r="U338" s="4">
        <v>0.0968057735747769</v>
      </c>
      <c r="V338" s="4">
        <v>-0.0949965815429563</v>
      </c>
      <c r="W338" s="4">
        <v>0.02884099</v>
      </c>
    </row>
    <row r="339" spans="1:23" x14ac:dyDescent="0.25">
      <c r="A339">
        <v>26710</v>
      </c>
      <c r="B339" t="s">
        <v>61</v>
      </c>
      <c r="C339" t="s">
        <v>62</v>
      </c>
      <c r="D339">
        <v>7</v>
      </c>
      <c r="E339" s="1">
        <v>0.0437170474516696</v>
      </c>
      <c r="F339" s="1">
        <v>-0.0901288658939102</v>
      </c>
      <c r="G339" s="1">
        <v>0.8</v>
      </c>
      <c r="H339" s="1">
        <v>0.4</v>
      </c>
      <c r="I339" s="1">
        <v>0.6</v>
      </c>
      <c r="J339" t="s">
        <v>188</v>
      </c>
      <c r="K339" s="3">
        <v>16668.2264017334</v>
      </c>
      <c r="L339" s="4">
        <v>0.0402962962962963</v>
      </c>
      <c r="M339" s="4">
        <v>-0.349056141456135</v>
      </c>
      <c r="N339" s="4">
        <v>0.0968057735747769</v>
      </c>
      <c r="O339" s="4">
        <v>-0.445861915030912</v>
      </c>
      <c r="P339" s="4">
        <v>0.02884099</v>
      </c>
      <c r="Q339" t="s">
        <v>188</v>
      </c>
      <c r="R339" s="3">
        <v>16668.2264017334</v>
      </c>
      <c r="S339" s="4">
        <v>0.0402962962962963</v>
      </c>
      <c r="T339" s="4">
        <v>-0.349056141456135</v>
      </c>
      <c r="U339" s="4">
        <v>0.0968057735747769</v>
      </c>
      <c r="V339" s="4">
        <v>-0.445861915030912</v>
      </c>
      <c r="W339" s="4">
        <v>0.02884099</v>
      </c>
    </row>
    <row r="340" spans="1:23" x14ac:dyDescent="0.25">
      <c r="A340">
        <v>45751</v>
      </c>
      <c r="B340" t="s">
        <v>27</v>
      </c>
      <c r="C340" t="s">
        <v>28</v>
      </c>
      <c r="D340">
        <v>7</v>
      </c>
      <c r="E340" s="1">
        <v>0.0408777429467085</v>
      </c>
      <c r="F340" s="1">
        <v>-0.030571316668114</v>
      </c>
      <c r="G340" s="1">
        <v>0.8</v>
      </c>
      <c r="H340" s="1">
        <v>0.4</v>
      </c>
      <c r="I340" s="1">
        <v>0.6</v>
      </c>
      <c r="J340" t="s">
        <v>188</v>
      </c>
      <c r="K340" s="3">
        <v>51006.564</v>
      </c>
      <c r="L340" s="4">
        <v>0.0660296634341129</v>
      </c>
      <c r="M340" s="4">
        <v>0.127734381525566</v>
      </c>
      <c r="N340" s="4">
        <v>0.0968057735747769</v>
      </c>
      <c r="O340" s="4">
        <v>0.0309286079507896</v>
      </c>
      <c r="P340" s="4">
        <v>0.02884099</v>
      </c>
      <c r="Q340" t="s">
        <v>188</v>
      </c>
      <c r="R340" s="3">
        <v>51006.564</v>
      </c>
      <c r="S340" s="4">
        <v>0.0660296634341129</v>
      </c>
      <c r="T340" s="4">
        <v>0.127734381525566</v>
      </c>
      <c r="U340" s="4">
        <v>0.0968057735747769</v>
      </c>
      <c r="V340" s="4">
        <v>0.0309286079507896</v>
      </c>
      <c r="W340" s="4">
        <v>0.02884099</v>
      </c>
    </row>
    <row r="341" spans="1:23" x14ac:dyDescent="0.25">
      <c r="A341">
        <v>59459</v>
      </c>
      <c r="B341" t="s">
        <v>63</v>
      </c>
      <c r="C341" t="s">
        <v>64</v>
      </c>
      <c r="D341">
        <v>7</v>
      </c>
      <c r="E341" s="1">
        <v>0.0782463465553236</v>
      </c>
      <c r="F341" s="1">
        <v>0.0718938610827031</v>
      </c>
      <c r="G341" s="1">
        <v>0.4</v>
      </c>
      <c r="H341" s="1">
        <v>0.8</v>
      </c>
      <c r="I341" s="1">
        <v>0.6</v>
      </c>
      <c r="J341" t="s">
        <v>188</v>
      </c>
      <c r="K341" s="3">
        <v>39160.4852789917</v>
      </c>
      <c r="L341" s="4">
        <v>0.0495351692685494</v>
      </c>
      <c r="M341" s="4">
        <v>-0.246372285400599</v>
      </c>
      <c r="N341" s="4">
        <v>0.0968057735747769</v>
      </c>
      <c r="O341" s="4">
        <v>-0.343178058975377</v>
      </c>
      <c r="P341" s="4">
        <v>0.02884099</v>
      </c>
      <c r="Q341" t="s">
        <v>188</v>
      </c>
      <c r="R341" s="3">
        <v>39160.4852789917</v>
      </c>
      <c r="S341" s="4">
        <v>0.0495351692685494</v>
      </c>
      <c r="T341" s="4">
        <v>-0.246372285400599</v>
      </c>
      <c r="U341" s="4">
        <v>0.0968057735747769</v>
      </c>
      <c r="V341" s="4">
        <v>-0.343178058975377</v>
      </c>
      <c r="W341" s="4">
        <v>0.02884099</v>
      </c>
    </row>
    <row r="342" spans="1:23" x14ac:dyDescent="0.25">
      <c r="A342">
        <v>63467</v>
      </c>
      <c r="B342" t="s">
        <v>43</v>
      </c>
      <c r="C342" t="s">
        <v>44</v>
      </c>
      <c r="D342">
        <v>7</v>
      </c>
      <c r="E342" s="1">
        <v>0.0449927431059507</v>
      </c>
      <c r="F342" s="1">
        <v>-0.0304223089936736</v>
      </c>
      <c r="G342" s="1">
        <v>0.8</v>
      </c>
      <c r="H342" s="1">
        <v>0.4</v>
      </c>
      <c r="I342" s="1">
        <v>0.6</v>
      </c>
      <c r="J342" t="s">
        <v>188</v>
      </c>
      <c r="K342" s="3">
        <v>9448.407</v>
      </c>
      <c r="L342" s="4">
        <v>0.0821442750868055</v>
      </c>
      <c r="M342" s="4">
        <v>0.284233751291528</v>
      </c>
      <c r="N342" s="4">
        <v>0.0968057735747769</v>
      </c>
      <c r="O342" s="4">
        <v>0.187427977716751</v>
      </c>
      <c r="P342" s="4">
        <v>0.02884099</v>
      </c>
      <c r="Q342" t="s">
        <v>188</v>
      </c>
      <c r="R342" s="3">
        <v>9448.407</v>
      </c>
      <c r="S342" s="4">
        <v>0.0821442750868055</v>
      </c>
      <c r="T342" s="4">
        <v>0.284233751291528</v>
      </c>
      <c r="U342" s="4">
        <v>0.0968057735747769</v>
      </c>
      <c r="V342" s="4">
        <v>0.187427977716751</v>
      </c>
      <c r="W342" s="4">
        <v>0.02884099</v>
      </c>
    </row>
    <row r="343" spans="1:23" x14ac:dyDescent="0.25">
      <c r="A343">
        <v>76136</v>
      </c>
      <c r="B343" t="s">
        <v>59</v>
      </c>
      <c r="C343" t="s">
        <v>60</v>
      </c>
      <c r="D343">
        <v>7</v>
      </c>
      <c r="E343" s="1">
        <v>0.0485085869237722</v>
      </c>
      <c r="F343" s="1">
        <v>-0.0290281925503221</v>
      </c>
      <c r="G343" s="1">
        <v>0.8</v>
      </c>
      <c r="H343" s="1">
        <v>0.4</v>
      </c>
      <c r="I343" s="1">
        <v>0.6</v>
      </c>
      <c r="J343" t="s">
        <v>188</v>
      </c>
      <c r="K343" s="3">
        <v>5736.818130867</v>
      </c>
      <c r="L343" s="4">
        <v>0.363077151115393</v>
      </c>
      <c r="M343" s="4">
        <v>-0.223408063663514</v>
      </c>
      <c r="N343" s="4">
        <v>0.0968057735747769</v>
      </c>
      <c r="O343" s="4">
        <v>-0.32021383723829</v>
      </c>
      <c r="P343" s="4">
        <v>0.02884099</v>
      </c>
      <c r="Q343" t="s">
        <v>188</v>
      </c>
      <c r="R343" s="3">
        <v>5736.818130867</v>
      </c>
      <c r="S343" s="4">
        <v>0.363077151115393</v>
      </c>
      <c r="T343" s="4">
        <v>-0.223408063663514</v>
      </c>
      <c r="U343" s="4">
        <v>0.0968057735747769</v>
      </c>
      <c r="V343" s="4">
        <v>-0.32021383723829</v>
      </c>
      <c r="W343" s="4">
        <v>0.02884099</v>
      </c>
    </row>
    <row r="344" spans="1:23" x14ac:dyDescent="0.25">
      <c r="A344">
        <v>87666</v>
      </c>
      <c r="B344" t="s">
        <v>35</v>
      </c>
      <c r="C344" t="s">
        <v>36</v>
      </c>
      <c r="D344">
        <v>7</v>
      </c>
      <c r="E344" s="1">
        <v>0.0918525060719806</v>
      </c>
      <c r="F344" s="1">
        <v>0.0487219543357914</v>
      </c>
      <c r="G344" s="1">
        <v>0.4</v>
      </c>
      <c r="H344" s="1">
        <v>0.8</v>
      </c>
      <c r="I344" s="1">
        <v>0.6</v>
      </c>
      <c r="J344" t="s">
        <v>188</v>
      </c>
      <c r="K344" s="3">
        <v>24542.5280421753</v>
      </c>
      <c r="L344" s="4">
        <v>-0.107738998482549</v>
      </c>
      <c r="M344" s="4">
        <v>-0.079151724082153</v>
      </c>
      <c r="N344" s="4">
        <v>0.0968057735747769</v>
      </c>
      <c r="O344" s="4">
        <v>-0.17595749765693</v>
      </c>
      <c r="P344" s="4">
        <v>0.02884099</v>
      </c>
      <c r="Q344" t="s">
        <v>188</v>
      </c>
      <c r="R344" s="3">
        <v>24542.5280421753</v>
      </c>
      <c r="S344" s="4">
        <v>-0.107738998482549</v>
      </c>
      <c r="T344" s="4">
        <v>-0.079151724082153</v>
      </c>
      <c r="U344" s="4">
        <v>0.0968057735747769</v>
      </c>
      <c r="V344" s="4">
        <v>-0.17595749765693</v>
      </c>
      <c r="W344" s="4">
        <v>0.02884099</v>
      </c>
    </row>
    <row r="345" spans="1:23" x14ac:dyDescent="0.25">
      <c r="A345">
        <v>92780</v>
      </c>
      <c r="B345" t="s">
        <v>173</v>
      </c>
      <c r="C345" t="s">
        <v>174</v>
      </c>
      <c r="D345">
        <v>7</v>
      </c>
      <c r="E345" s="1">
        <v>0.0460539263924424</v>
      </c>
      <c r="F345" s="1">
        <v>-0.0849330442775901</v>
      </c>
      <c r="G345" s="1">
        <v>0.8</v>
      </c>
      <c r="H345" s="1">
        <v>0.4</v>
      </c>
      <c r="I345" s="1">
        <v>0.6</v>
      </c>
      <c r="J345" t="s">
        <v>188</v>
      </c>
      <c r="K345" s="3">
        <v>344.116420379639</v>
      </c>
      <c r="L345" s="4">
        <v>-0.0640883704021944</v>
      </c>
      <c r="M345" s="4">
        <v>0.14497329808293</v>
      </c>
      <c r="N345" s="4">
        <v>0.0968057735747769</v>
      </c>
      <c r="O345" s="4">
        <v>0.0481675245081534</v>
      </c>
      <c r="P345" s="4">
        <v>0.02884099</v>
      </c>
      <c r="Q345" t="s">
        <v>188</v>
      </c>
      <c r="R345" s="3">
        <v>344.116420379639</v>
      </c>
      <c r="S345" s="4">
        <v>-0.0640883704021944</v>
      </c>
      <c r="T345" s="4">
        <v>0.14497329808293</v>
      </c>
      <c r="U345" s="4">
        <v>0.0968057735747769</v>
      </c>
      <c r="V345" s="4">
        <v>0.0481675245081534</v>
      </c>
      <c r="W345" s="4">
        <v>0.02884099</v>
      </c>
    </row>
    <row r="346" spans="1:23" x14ac:dyDescent="0.25">
      <c r="A346">
        <v>10901</v>
      </c>
      <c r="B346" t="s">
        <v>186</v>
      </c>
      <c r="C346" t="s">
        <v>187</v>
      </c>
      <c r="D346">
        <v>7</v>
      </c>
      <c r="E346" s="1">
        <v>0.0656554222322843</v>
      </c>
      <c r="F346" s="1">
        <v>-0.0258687219259723</v>
      </c>
      <c r="G346" s="1">
        <v>0.6</v>
      </c>
      <c r="H346" s="1">
        <v>0.6</v>
      </c>
      <c r="I346" s="1">
        <v>0.6</v>
      </c>
      <c r="J346" t="s">
        <v>188</v>
      </c>
      <c r="K346" s="3">
        <v>315.463</v>
      </c>
      <c r="L346" s="4">
        <v>-0.0344369469573385</v>
      </c>
      <c r="M346" s="4">
        <v>-0.133166249987421</v>
      </c>
      <c r="N346" s="4">
        <v>0.0968057735747769</v>
      </c>
      <c r="O346" s="4">
        <v>-0.229972023562198</v>
      </c>
      <c r="P346" s="4">
        <v>0.02884099</v>
      </c>
      <c r="Q346" t="s">
        <v>188</v>
      </c>
      <c r="R346" s="3">
        <v>315.463</v>
      </c>
      <c r="S346" s="4">
        <v>-0.0344369469573385</v>
      </c>
      <c r="T346" s="4">
        <v>-0.133166249987421</v>
      </c>
      <c r="U346" s="4">
        <v>0.0968057735747769</v>
      </c>
      <c r="V346" s="4">
        <v>-0.229972023562198</v>
      </c>
      <c r="W346" s="4">
        <v>0.02884099</v>
      </c>
    </row>
    <row r="347" spans="1:23" x14ac:dyDescent="0.25">
      <c r="A347">
        <v>82775</v>
      </c>
      <c r="B347" t="s">
        <v>97</v>
      </c>
      <c r="C347" t="s">
        <v>98</v>
      </c>
      <c r="D347">
        <v>7</v>
      </c>
      <c r="E347" s="1">
        <v>0.0929133858267716</v>
      </c>
      <c r="F347" s="1">
        <v>0.216254848716494</v>
      </c>
      <c r="G347" s="1">
        <v>0.2</v>
      </c>
      <c r="H347" s="1">
        <v>1</v>
      </c>
      <c r="I347" s="1">
        <v>0.6</v>
      </c>
      <c r="J347" t="s">
        <v>188</v>
      </c>
      <c r="K347" s="3">
        <v>20142.724721283</v>
      </c>
      <c r="L347" s="4">
        <v>0.115627231611521</v>
      </c>
      <c r="M347" s="4">
        <v>-0.254542840242418</v>
      </c>
      <c r="N347" s="4">
        <v>0.0968057735747769</v>
      </c>
      <c r="O347" s="4">
        <v>-0.351348613817195</v>
      </c>
      <c r="P347" s="4">
        <v>0.02884099</v>
      </c>
      <c r="Q347" t="s">
        <v>188</v>
      </c>
      <c r="R347" s="3">
        <v>20142.724721283</v>
      </c>
      <c r="S347" s="4">
        <v>0.115627231611521</v>
      </c>
      <c r="T347" s="4">
        <v>-0.254542840242418</v>
      </c>
      <c r="U347" s="4">
        <v>0.0968057735747769</v>
      </c>
      <c r="V347" s="4">
        <v>-0.351348613817195</v>
      </c>
      <c r="W347" s="4">
        <v>0.02884099</v>
      </c>
    </row>
    <row r="348" spans="1:23" x14ac:dyDescent="0.25">
      <c r="A348">
        <v>90162</v>
      </c>
      <c r="B348" t="s">
        <v>69</v>
      </c>
      <c r="C348" t="s">
        <v>70</v>
      </c>
      <c r="D348">
        <v>7</v>
      </c>
      <c r="E348" s="1">
        <v>0.0515021459227468</v>
      </c>
      <c r="F348" s="1">
        <v>0.0245132061861337</v>
      </c>
      <c r="G348" s="1">
        <v>0.6</v>
      </c>
      <c r="H348" s="1">
        <v>0.6</v>
      </c>
      <c r="I348" s="1">
        <v>0.6</v>
      </c>
      <c r="J348" t="s">
        <v>188</v>
      </c>
      <c r="K348" s="3">
        <v>1867.29495919991</v>
      </c>
      <c r="L348" s="4">
        <v>0.0160337552742616</v>
      </c>
      <c r="M348" s="4">
        <v>0.0481099235756552</v>
      </c>
      <c r="N348" s="4">
        <v>0.0968057735747769</v>
      </c>
      <c r="O348" s="4">
        <v>-0.0486958499991217</v>
      </c>
      <c r="P348" s="4">
        <v>0.02884099</v>
      </c>
      <c r="Q348" t="s">
        <v>188</v>
      </c>
      <c r="R348" s="3">
        <v>1867.29495919991</v>
      </c>
      <c r="S348" s="4">
        <v>0.0160337552742616</v>
      </c>
      <c r="T348" s="4">
        <v>0.0481099235756552</v>
      </c>
      <c r="U348" s="4">
        <v>0.0968057735747769</v>
      </c>
      <c r="V348" s="4">
        <v>-0.0486958499991217</v>
      </c>
      <c r="W348" s="4">
        <v>0.02884099</v>
      </c>
    </row>
    <row r="349" spans="1:23" x14ac:dyDescent="0.25">
      <c r="A349">
        <v>14318</v>
      </c>
      <c r="B349" t="s">
        <v>161</v>
      </c>
      <c r="C349" t="s">
        <v>162</v>
      </c>
      <c r="D349">
        <v>7</v>
      </c>
      <c r="E349" s="1">
        <v>0.0929971988795518</v>
      </c>
      <c r="F349" s="1">
        <v>0.0248825829388876</v>
      </c>
      <c r="G349" s="1">
        <v>0.2</v>
      </c>
      <c r="H349" s="1">
        <v>0.8</v>
      </c>
      <c r="I349" s="1">
        <v>0.5</v>
      </c>
      <c r="J349" t="s">
        <v>188</v>
      </c>
      <c r="K349" s="3">
        <v>1923.9334786377</v>
      </c>
      <c r="L349" s="4">
        <v>0.504982406986861</v>
      </c>
      <c r="M349" s="4">
        <v>-0.43635360682473</v>
      </c>
      <c r="N349" s="4">
        <v>0.0968057735747769</v>
      </c>
      <c r="O349" s="4">
        <v>-0.533159380399507</v>
      </c>
      <c r="P349" s="4">
        <v>0.02884099</v>
      </c>
      <c r="Q349" t="s">
        <v>188</v>
      </c>
      <c r="R349" s="3">
        <v>1923.9334786377</v>
      </c>
      <c r="S349" s="4">
        <v>0.504982406986861</v>
      </c>
      <c r="T349" s="4">
        <v>-0.43635360682473</v>
      </c>
      <c r="U349" s="4">
        <v>0.0968057735747769</v>
      </c>
      <c r="V349" s="4">
        <v>-0.533159380399507</v>
      </c>
      <c r="W349" s="4">
        <v>0.02884099</v>
      </c>
    </row>
    <row r="350" spans="1:23" x14ac:dyDescent="0.25">
      <c r="A350">
        <v>17743</v>
      </c>
      <c r="B350" t="s">
        <v>75</v>
      </c>
      <c r="C350" t="s">
        <v>76</v>
      </c>
      <c r="D350">
        <v>7</v>
      </c>
      <c r="E350" s="1">
        <v>0.0684616425382222</v>
      </c>
      <c r="F350" s="1">
        <v>-0.00260560009721067</v>
      </c>
      <c r="G350" s="1">
        <v>0.4</v>
      </c>
      <c r="H350" s="1">
        <v>0.6</v>
      </c>
      <c r="I350" s="1">
        <v>0.5</v>
      </c>
      <c r="J350" t="s">
        <v>188</v>
      </c>
      <c r="K350" s="3">
        <v>12073.0357258835</v>
      </c>
      <c r="L350" s="4">
        <v>-0.00450240560250356</v>
      </c>
      <c r="M350" s="4">
        <v>-0.0443551718069147</v>
      </c>
      <c r="N350" s="4">
        <v>0.0968057735747769</v>
      </c>
      <c r="O350" s="4">
        <v>-0.141160945381692</v>
      </c>
      <c r="P350" s="4">
        <v>0.02884099</v>
      </c>
      <c r="Q350" t="s">
        <v>188</v>
      </c>
      <c r="R350" s="3">
        <v>12073.0357258835</v>
      </c>
      <c r="S350" s="4">
        <v>-0.00450240560250356</v>
      </c>
      <c r="T350" s="4">
        <v>-0.0443551718069147</v>
      </c>
      <c r="U350" s="4">
        <v>0.0968057735747769</v>
      </c>
      <c r="V350" s="4">
        <v>-0.141160945381692</v>
      </c>
      <c r="W350" s="4">
        <v>0.02884099</v>
      </c>
    </row>
    <row r="351" spans="1:23" x14ac:dyDescent="0.25">
      <c r="A351">
        <v>57904</v>
      </c>
      <c r="B351" t="s">
        <v>41</v>
      </c>
      <c r="C351" t="s">
        <v>42</v>
      </c>
      <c r="D351">
        <v>7</v>
      </c>
      <c r="E351" s="1">
        <v>0.0831870061457419</v>
      </c>
      <c r="F351" s="1">
        <v>-0.0189942854735405</v>
      </c>
      <c r="G351" s="1">
        <v>0.4</v>
      </c>
      <c r="H351" s="1">
        <v>0.6</v>
      </c>
      <c r="I351" s="1">
        <v>0.5</v>
      </c>
      <c r="J351" t="s">
        <v>188</v>
      </c>
      <c r="K351" s="3">
        <v>40859.1569137459</v>
      </c>
      <c r="L351" s="4">
        <v>0.00313364055299539</v>
      </c>
      <c r="M351" s="4">
        <v>-0.271495716431982</v>
      </c>
      <c r="N351" s="4">
        <v>0.0968057735747769</v>
      </c>
      <c r="O351" s="4">
        <v>-0.368301490006759</v>
      </c>
      <c r="P351" s="4">
        <v>0.02884099</v>
      </c>
      <c r="Q351" t="s">
        <v>188</v>
      </c>
      <c r="R351" s="3">
        <v>40859.1569137459</v>
      </c>
      <c r="S351" s="4">
        <v>0.00313364055299539</v>
      </c>
      <c r="T351" s="4">
        <v>-0.271495716431982</v>
      </c>
      <c r="U351" s="4">
        <v>0.0968057735747769</v>
      </c>
      <c r="V351" s="4">
        <v>-0.368301490006759</v>
      </c>
      <c r="W351" s="4">
        <v>0.02884099</v>
      </c>
    </row>
    <row r="352" spans="1:23" x14ac:dyDescent="0.25">
      <c r="A352">
        <v>71175</v>
      </c>
      <c r="B352" t="s">
        <v>65</v>
      </c>
      <c r="C352" t="s">
        <v>66</v>
      </c>
      <c r="D352">
        <v>7</v>
      </c>
      <c r="E352" s="1">
        <v>0.0810074880871341</v>
      </c>
      <c r="F352" s="1">
        <v>-0.0216767455706381</v>
      </c>
      <c r="G352" s="1">
        <v>0.4</v>
      </c>
      <c r="H352" s="1">
        <v>0.6</v>
      </c>
      <c r="I352" s="1">
        <v>0.5</v>
      </c>
      <c r="J352" t="s">
        <v>188</v>
      </c>
      <c r="K352" s="3">
        <v>7108.60738834763</v>
      </c>
      <c r="L352" s="4">
        <v>0.0276783499308929</v>
      </c>
      <c r="M352" s="4">
        <v>-0.496248154260195</v>
      </c>
      <c r="N352" s="4">
        <v>0.0968057735747769</v>
      </c>
      <c r="O352" s="4">
        <v>-0.593053927834972</v>
      </c>
      <c r="P352" s="4">
        <v>0.02884099</v>
      </c>
      <c r="Q352" t="s">
        <v>188</v>
      </c>
      <c r="R352" s="3">
        <v>7108.60738834763</v>
      </c>
      <c r="S352" s="4">
        <v>0.0276783499308929</v>
      </c>
      <c r="T352" s="4">
        <v>-0.496248154260195</v>
      </c>
      <c r="U352" s="4">
        <v>0.0968057735747769</v>
      </c>
      <c r="V352" s="4">
        <v>-0.593053927834972</v>
      </c>
      <c r="W352" s="4">
        <v>0.02884099</v>
      </c>
    </row>
    <row r="353" spans="1:23" x14ac:dyDescent="0.25">
      <c r="A353">
        <v>78038</v>
      </c>
      <c r="B353" t="s">
        <v>109</v>
      </c>
      <c r="C353" t="s">
        <v>110</v>
      </c>
      <c r="D353">
        <v>7</v>
      </c>
      <c r="E353" s="1">
        <v>0.172982885085575</v>
      </c>
      <c r="F353" s="1">
        <v>0.0371787127765315</v>
      </c>
      <c r="G353" s="1">
        <v>0.2</v>
      </c>
      <c r="H353" s="1">
        <v>0.8</v>
      </c>
      <c r="I353" s="1">
        <v>0.5</v>
      </c>
      <c r="J353" t="s">
        <v>188</v>
      </c>
      <c r="K353" s="3">
        <v>4753.27992935371</v>
      </c>
      <c r="L353" s="4">
        <v>0.0420544337856521</v>
      </c>
      <c r="M353" s="4">
        <v>-0.282737914072354</v>
      </c>
      <c r="N353" s="4">
        <v>0.0968057735747769</v>
      </c>
      <c r="O353" s="4">
        <v>-0.379543687647131</v>
      </c>
      <c r="P353" s="4">
        <v>0.02884099</v>
      </c>
      <c r="Q353" t="s">
        <v>188</v>
      </c>
      <c r="R353" s="3">
        <v>4753.27992935371</v>
      </c>
      <c r="S353" s="4">
        <v>0.0420544337856521</v>
      </c>
      <c r="T353" s="4">
        <v>-0.282737914072354</v>
      </c>
      <c r="U353" s="4">
        <v>0.0968057735747769</v>
      </c>
      <c r="V353" s="4">
        <v>-0.379543687647131</v>
      </c>
      <c r="W353" s="4">
        <v>0.02884099</v>
      </c>
    </row>
    <row r="354" spans="1:23" x14ac:dyDescent="0.25">
      <c r="A354">
        <v>78211</v>
      </c>
      <c r="B354" t="s">
        <v>165</v>
      </c>
      <c r="C354" t="s">
        <v>166</v>
      </c>
      <c r="D354">
        <v>7</v>
      </c>
      <c r="E354" s="1">
        <v>0.0886075949367088</v>
      </c>
      <c r="F354" s="1">
        <v>0.0126243969124752</v>
      </c>
      <c r="G354" s="1">
        <v>0.4</v>
      </c>
      <c r="H354" s="1">
        <v>0.6</v>
      </c>
      <c r="I354" s="1">
        <v>0.5</v>
      </c>
      <c r="J354" t="s">
        <v>188</v>
      </c>
      <c r="K354" s="3">
        <v>966.679186782837</v>
      </c>
      <c r="L354" s="4">
        <v>0.0956223833513318</v>
      </c>
      <c r="M354" s="4">
        <v>-0.363370307998795</v>
      </c>
      <c r="N354" s="4">
        <v>0.0968057735747769</v>
      </c>
      <c r="O354" s="4">
        <v>-0.460176081573572</v>
      </c>
      <c r="P354" s="4">
        <v>0.02884099</v>
      </c>
      <c r="Q354" t="s">
        <v>188</v>
      </c>
      <c r="R354" s="3">
        <v>966.679186782837</v>
      </c>
      <c r="S354" s="4">
        <v>0.0956223833513318</v>
      </c>
      <c r="T354" s="4">
        <v>-0.363370307998795</v>
      </c>
      <c r="U354" s="4">
        <v>0.0968057735747769</v>
      </c>
      <c r="V354" s="4">
        <v>-0.460176081573572</v>
      </c>
      <c r="W354" s="4">
        <v>0.02884099</v>
      </c>
    </row>
    <row r="355" spans="1:23" x14ac:dyDescent="0.25">
      <c r="A355">
        <v>89269</v>
      </c>
      <c r="B355" t="s">
        <v>103</v>
      </c>
      <c r="C355" t="s">
        <v>104</v>
      </c>
      <c r="D355">
        <v>7</v>
      </c>
      <c r="E355" s="1">
        <v>0.0400693842150911</v>
      </c>
      <c r="F355" s="1">
        <v>-0.101512884307761</v>
      </c>
      <c r="G355" s="1">
        <v>0.8</v>
      </c>
      <c r="H355" s="1">
        <v>0.2</v>
      </c>
      <c r="I355" s="1">
        <v>0.5</v>
      </c>
      <c r="J355" t="s">
        <v>188</v>
      </c>
      <c r="K355" s="3">
        <v>21676.9649123268</v>
      </c>
      <c r="L355" s="4">
        <v>0.242528212971766</v>
      </c>
      <c r="M355" s="4">
        <v>0.147186147398133</v>
      </c>
      <c r="N355" s="4">
        <v>0.0968057735747769</v>
      </c>
      <c r="O355" s="4">
        <v>0.0503803738233557</v>
      </c>
      <c r="P355" s="4">
        <v>0.02884099</v>
      </c>
      <c r="Q355" t="s">
        <v>188</v>
      </c>
      <c r="R355" s="3">
        <v>21676.9649123268</v>
      </c>
      <c r="S355" s="4">
        <v>0.242528212971766</v>
      </c>
      <c r="T355" s="4">
        <v>0.147186147398133</v>
      </c>
      <c r="U355" s="4">
        <v>0.0968057735747769</v>
      </c>
      <c r="V355" s="4">
        <v>0.0503803738233557</v>
      </c>
      <c r="W355" s="4">
        <v>0.02884099</v>
      </c>
    </row>
    <row r="356" spans="1:23" x14ac:dyDescent="0.25">
      <c r="A356">
        <v>89575</v>
      </c>
      <c r="B356" t="s">
        <v>167</v>
      </c>
      <c r="C356" t="s">
        <v>168</v>
      </c>
      <c r="D356">
        <v>7</v>
      </c>
      <c r="E356" s="1">
        <v>0.0669844762254003</v>
      </c>
      <c r="F356" s="1">
        <v>-0.0412337557350558</v>
      </c>
      <c r="G356" s="1">
        <v>0.6</v>
      </c>
      <c r="H356" s="1">
        <v>0.4</v>
      </c>
      <c r="I356" s="1">
        <v>0.5</v>
      </c>
      <c r="J356" t="s">
        <v>188</v>
      </c>
      <c r="K356" s="3">
        <v>1463.47987774658</v>
      </c>
      <c r="L356" s="4">
        <v>-0.0091086882412397</v>
      </c>
      <c r="M356" s="4">
        <v>-0.127887259504458</v>
      </c>
      <c r="N356" s="4">
        <v>0.0968057735747769</v>
      </c>
      <c r="O356" s="4">
        <v>-0.224693033079235</v>
      </c>
      <c r="P356" s="4">
        <v>0.02884099</v>
      </c>
      <c r="Q356" t="s">
        <v>188</v>
      </c>
      <c r="R356" s="3">
        <v>1463.47987774658</v>
      </c>
      <c r="S356" s="4">
        <v>-0.0091086882412397</v>
      </c>
      <c r="T356" s="4">
        <v>-0.127887259504458</v>
      </c>
      <c r="U356" s="4">
        <v>0.0968057735747769</v>
      </c>
      <c r="V356" s="4">
        <v>-0.224693033079235</v>
      </c>
      <c r="W356" s="4">
        <v>0.02884099</v>
      </c>
    </row>
    <row r="357" spans="1:23" x14ac:dyDescent="0.25">
      <c r="A357">
        <v>91688</v>
      </c>
      <c r="B357" t="s">
        <v>171</v>
      </c>
      <c r="C357" t="s">
        <v>172</v>
      </c>
      <c r="D357">
        <v>7</v>
      </c>
      <c r="E357" s="1">
        <v>0.10245413390517</v>
      </c>
      <c r="F357" s="1">
        <v>0.0300339270608008</v>
      </c>
      <c r="G357" s="1">
        <v>0.2</v>
      </c>
      <c r="H357" s="1">
        <v>0.8</v>
      </c>
      <c r="I357" s="1">
        <v>0.5</v>
      </c>
      <c r="J357" t="s">
        <v>188</v>
      </c>
      <c r="K357" s="3">
        <v>1354.83805467224</v>
      </c>
      <c r="L357" s="4">
        <v>0.00137620417865635</v>
      </c>
      <c r="M357" s="4">
        <v>-0.262475989880301</v>
      </c>
      <c r="N357" s="4">
        <v>0.0968057735747769</v>
      </c>
      <c r="O357" s="4">
        <v>-0.359281763455078</v>
      </c>
      <c r="P357" s="4">
        <v>0.02884099</v>
      </c>
      <c r="Q357" t="s">
        <v>188</v>
      </c>
      <c r="R357" s="3">
        <v>1354.83805467224</v>
      </c>
      <c r="S357" s="4">
        <v>0.00137620417865635</v>
      </c>
      <c r="T357" s="4">
        <v>-0.262475989880301</v>
      </c>
      <c r="U357" s="4">
        <v>0.0968057735747769</v>
      </c>
      <c r="V357" s="4">
        <v>-0.359281763455078</v>
      </c>
      <c r="W357" s="4">
        <v>0.02884099</v>
      </c>
    </row>
    <row r="358" spans="1:23" x14ac:dyDescent="0.25">
      <c r="A358">
        <v>14625</v>
      </c>
      <c r="B358" t="s">
        <v>163</v>
      </c>
      <c r="C358" t="s">
        <v>164</v>
      </c>
      <c r="D358">
        <v>7</v>
      </c>
      <c r="E358" s="1">
        <v>0.0713315217391304</v>
      </c>
      <c r="F358" s="1">
        <v>-0.0888408212994393</v>
      </c>
      <c r="G358" s="1">
        <v>0.4</v>
      </c>
      <c r="H358" s="1">
        <v>0.4</v>
      </c>
      <c r="I358" s="1">
        <v>0.4</v>
      </c>
      <c r="J358" t="s">
        <v>188</v>
      </c>
      <c r="K358" s="3">
        <v>462.50032542038</v>
      </c>
      <c r="L358" s="4">
        <v>0.174070330502702</v>
      </c>
      <c r="M358" s="4">
        <v>-0.127292344002951</v>
      </c>
      <c r="N358" s="4">
        <v>0.0968057735747769</v>
      </c>
      <c r="O358" s="4">
        <v>-0.224098117577728</v>
      </c>
      <c r="P358" s="4">
        <v>0.02884099</v>
      </c>
      <c r="Q358" t="s">
        <v>188</v>
      </c>
      <c r="R358" s="3">
        <v>462.50032542038</v>
      </c>
      <c r="S358" s="4">
        <v>0.174070330502702</v>
      </c>
      <c r="T358" s="4">
        <v>-0.127292344002951</v>
      </c>
      <c r="U358" s="4">
        <v>0.0968057735747769</v>
      </c>
      <c r="V358" s="4">
        <v>-0.224098117577728</v>
      </c>
      <c r="W358" s="4">
        <v>0.02884099</v>
      </c>
    </row>
    <row r="359" spans="1:23" x14ac:dyDescent="0.25">
      <c r="A359">
        <v>43837</v>
      </c>
      <c r="B359" t="s">
        <v>169</v>
      </c>
      <c r="C359" t="s">
        <v>170</v>
      </c>
      <c r="D359">
        <v>7</v>
      </c>
      <c r="E359" s="1">
        <v>0.0545454545454545</v>
      </c>
      <c r="F359" s="1">
        <v>-0.10886666287413</v>
      </c>
      <c r="G359" s="1">
        <v>0.6</v>
      </c>
      <c r="H359" s="1">
        <v>0.2</v>
      </c>
      <c r="I359" s="1">
        <v>0.4</v>
      </c>
      <c r="J359" t="s">
        <v>188</v>
      </c>
      <c r="K359" s="3">
        <v>578.360658233643</v>
      </c>
      <c r="L359" s="4">
        <v>0.106355602420225</v>
      </c>
      <c r="M359" s="4">
        <v>-0.214068229267305</v>
      </c>
      <c r="N359" s="4">
        <v>0.0968057735747769</v>
      </c>
      <c r="O359" s="4">
        <v>-0.310874002842082</v>
      </c>
      <c r="P359" s="4">
        <v>0.02884099</v>
      </c>
      <c r="Q359" t="s">
        <v>188</v>
      </c>
      <c r="R359" s="3">
        <v>578.360658233643</v>
      </c>
      <c r="S359" s="4">
        <v>0.106355602420225</v>
      </c>
      <c r="T359" s="4">
        <v>-0.214068229267305</v>
      </c>
      <c r="U359" s="4">
        <v>0.0968057735747769</v>
      </c>
      <c r="V359" s="4">
        <v>-0.310874002842082</v>
      </c>
      <c r="W359" s="4">
        <v>0.02884099</v>
      </c>
    </row>
    <row r="360" spans="1:23" x14ac:dyDescent="0.25">
      <c r="A360">
        <v>59396</v>
      </c>
      <c r="B360" t="s">
        <v>100</v>
      </c>
      <c r="C360" t="s">
        <v>101</v>
      </c>
      <c r="D360">
        <v>7</v>
      </c>
      <c r="E360" s="1">
        <v>0.0612542537676228</v>
      </c>
      <c r="F360" s="1">
        <v>-0.227747112742569</v>
      </c>
      <c r="G360" s="1">
        <v>0.6</v>
      </c>
      <c r="H360" s="1">
        <v>0.2</v>
      </c>
      <c r="I360" s="1">
        <v>0.4</v>
      </c>
      <c r="J360" t="s">
        <v>188</v>
      </c>
      <c r="K360" s="3">
        <v>6780.02074575424</v>
      </c>
      <c r="L360" s="4">
        <v>-0.0385272468905175</v>
      </c>
      <c r="M360" s="4">
        <v>-0.233215994560984</v>
      </c>
      <c r="N360" s="4">
        <v>0.0968057735747769</v>
      </c>
      <c r="O360" s="4">
        <v>-0.330021768135761</v>
      </c>
      <c r="P360" s="4">
        <v>0.02884099</v>
      </c>
      <c r="Q360" t="s">
        <v>188</v>
      </c>
      <c r="R360" s="3">
        <v>6780.02074575424</v>
      </c>
      <c r="S360" s="4">
        <v>-0.0385272468905175</v>
      </c>
      <c r="T360" s="4">
        <v>-0.233215994560984</v>
      </c>
      <c r="U360" s="4">
        <v>0.0968057735747769</v>
      </c>
      <c r="V360" s="4">
        <v>-0.330021768135761</v>
      </c>
      <c r="W360" s="4">
        <v>0.02884099</v>
      </c>
    </row>
    <row r="361" spans="1:23" x14ac:dyDescent="0.25">
      <c r="A361">
        <v>60687</v>
      </c>
      <c r="B361" t="s">
        <v>83</v>
      </c>
      <c r="C361" t="s">
        <v>84</v>
      </c>
      <c r="D361">
        <v>7</v>
      </c>
      <c r="E361" s="1">
        <v>0.0657240693692699</v>
      </c>
      <c r="F361" s="1">
        <v>-0.147033950054087</v>
      </c>
      <c r="G361" s="1">
        <v>0.6</v>
      </c>
      <c r="H361" s="1">
        <v>0.2</v>
      </c>
      <c r="I361" s="1">
        <v>0.4</v>
      </c>
      <c r="J361" t="s">
        <v>188</v>
      </c>
      <c r="K361" s="3">
        <v>9190.2269994812</v>
      </c>
      <c r="L361" s="4">
        <v>0.0276429936774004</v>
      </c>
      <c r="M361" s="4">
        <v>-0.364461187485386</v>
      </c>
      <c r="N361" s="4">
        <v>0.0968057735747769</v>
      </c>
      <c r="O361" s="4">
        <v>-0.461266961060163</v>
      </c>
      <c r="P361" s="4">
        <v>0.02884099</v>
      </c>
      <c r="Q361" t="s">
        <v>188</v>
      </c>
      <c r="R361" s="3">
        <v>9190.2269994812</v>
      </c>
      <c r="S361" s="4">
        <v>0.0276429936774004</v>
      </c>
      <c r="T361" s="4">
        <v>-0.364461187485386</v>
      </c>
      <c r="U361" s="4">
        <v>0.0968057735747769</v>
      </c>
      <c r="V361" s="4">
        <v>-0.461266961060163</v>
      </c>
      <c r="W361" s="4">
        <v>0.02884099</v>
      </c>
    </row>
    <row r="362" spans="1:23" x14ac:dyDescent="0.25">
      <c r="A362">
        <v>64390</v>
      </c>
      <c r="B362" t="s">
        <v>16</v>
      </c>
      <c r="C362" t="s">
        <v>17</v>
      </c>
      <c r="D362">
        <v>7</v>
      </c>
      <c r="E362" s="1">
        <v>0.0737609812696834</v>
      </c>
      <c r="F362" s="1">
        <v>-0.0550364112798959</v>
      </c>
      <c r="G362" s="1">
        <v>0.4</v>
      </c>
      <c r="H362" s="1">
        <v>0.4</v>
      </c>
      <c r="I362" s="1">
        <v>0.4</v>
      </c>
      <c r="J362" t="s">
        <v>188</v>
      </c>
      <c r="K362" s="3">
        <v>46678.0011582184</v>
      </c>
      <c r="L362" s="4">
        <v>0.191677015390697</v>
      </c>
      <c r="M362" s="4">
        <v>0.0123560562513665</v>
      </c>
      <c r="N362" s="4">
        <v>0.0968057735747769</v>
      </c>
      <c r="O362" s="4">
        <v>-0.0844497173234104</v>
      </c>
      <c r="P362" s="4">
        <v>0.02884099</v>
      </c>
      <c r="Q362" t="s">
        <v>188</v>
      </c>
      <c r="R362" s="3">
        <v>46678.0011582184</v>
      </c>
      <c r="S362" s="4">
        <v>0.191677015390697</v>
      </c>
      <c r="T362" s="4">
        <v>0.0123560562513665</v>
      </c>
      <c r="U362" s="4">
        <v>0.0968057735747769</v>
      </c>
      <c r="V362" s="4">
        <v>-0.0844497173234104</v>
      </c>
      <c r="W362" s="4">
        <v>0.02884099</v>
      </c>
    </row>
    <row r="363" spans="1:23" x14ac:dyDescent="0.25">
      <c r="A363">
        <v>83720</v>
      </c>
      <c r="B363" t="s">
        <v>136</v>
      </c>
      <c r="C363" t="s">
        <v>137</v>
      </c>
      <c r="D363">
        <v>7</v>
      </c>
      <c r="E363" s="1">
        <v>0.0572734196496573</v>
      </c>
      <c r="F363" s="1">
        <v>-0.163155803750926</v>
      </c>
      <c r="G363" s="1">
        <v>0.6</v>
      </c>
      <c r="H363" s="1">
        <v>0.2</v>
      </c>
      <c r="I363" s="1">
        <v>0.4</v>
      </c>
      <c r="J363" t="s">
        <v>188</v>
      </c>
      <c r="K363" s="3">
        <v>1572.15958119965</v>
      </c>
      <c r="L363" s="4">
        <v>-0.0215533299432478</v>
      </c>
      <c r="M363" s="4">
        <v>-0.380584641834296</v>
      </c>
      <c r="N363" s="4">
        <v>0.0968057735747769</v>
      </c>
      <c r="O363" s="4">
        <v>-0.477390415409073</v>
      </c>
      <c r="P363" s="4">
        <v>0.02884099</v>
      </c>
      <c r="Q363" t="s">
        <v>188</v>
      </c>
      <c r="R363" s="3">
        <v>1572.15958119965</v>
      </c>
      <c r="S363" s="4">
        <v>-0.0215533299432478</v>
      </c>
      <c r="T363" s="4">
        <v>-0.380584641834296</v>
      </c>
      <c r="U363" s="4">
        <v>0.0968057735747769</v>
      </c>
      <c r="V363" s="4">
        <v>-0.477390415409073</v>
      </c>
      <c r="W363" s="4">
        <v>0.02884099</v>
      </c>
    </row>
    <row r="364" spans="1:23" x14ac:dyDescent="0.25">
      <c r="A364">
        <v>87212</v>
      </c>
      <c r="B364" t="s">
        <v>49</v>
      </c>
      <c r="C364" t="s">
        <v>50</v>
      </c>
      <c r="D364">
        <v>7</v>
      </c>
      <c r="E364" s="1">
        <v>0.120805369127517</v>
      </c>
      <c r="F364" s="1">
        <v>0.0228501930599578</v>
      </c>
      <c r="G364" s="1">
        <v>0.2</v>
      </c>
      <c r="H364" s="1">
        <v>0.6</v>
      </c>
      <c r="I364" s="1">
        <v>0.4</v>
      </c>
      <c r="J364" t="s">
        <v>188</v>
      </c>
      <c r="K364" s="3">
        <v>35785.4035207062</v>
      </c>
      <c r="L364" s="4">
        <v>-0.345357440692702</v>
      </c>
      <c r="M364" s="4">
        <v>-0.223607478709914</v>
      </c>
      <c r="N364" s="4">
        <v>0.0968057735747769</v>
      </c>
      <c r="O364" s="4">
        <v>-0.320413252284691</v>
      </c>
      <c r="P364" s="4">
        <v>0.02884099</v>
      </c>
      <c r="Q364" t="s">
        <v>188</v>
      </c>
      <c r="R364" s="3">
        <v>35785.4035207062</v>
      </c>
      <c r="S364" s="4">
        <v>-0.345357440692702</v>
      </c>
      <c r="T364" s="4">
        <v>-0.223607478709914</v>
      </c>
      <c r="U364" s="4">
        <v>0.0968057735747769</v>
      </c>
      <c r="V364" s="4">
        <v>-0.320413252284691</v>
      </c>
      <c r="W364" s="4">
        <v>0.02884099</v>
      </c>
    </row>
    <row r="365" spans="1:23" x14ac:dyDescent="0.25">
      <c r="A365">
        <v>90925</v>
      </c>
      <c r="B365" t="s">
        <v>105</v>
      </c>
      <c r="C365" t="s">
        <v>106</v>
      </c>
      <c r="D365">
        <v>7</v>
      </c>
      <c r="E365" s="1">
        <v>0.0731552162849873</v>
      </c>
      <c r="F365" s="1">
        <v>-0.0705000957175339</v>
      </c>
      <c r="G365" s="1">
        <v>0.4</v>
      </c>
      <c r="H365" s="1">
        <v>0.4</v>
      </c>
      <c r="I365" s="1">
        <v>0.4</v>
      </c>
      <c r="J365" t="s">
        <v>188</v>
      </c>
      <c r="K365" s="3">
        <v>11076.6965903015</v>
      </c>
      <c r="L365" s="4">
        <v>0.0259705126470986</v>
      </c>
      <c r="M365" s="4">
        <v>-0.142988722335917</v>
      </c>
      <c r="N365" s="4">
        <v>0.0968057735747769</v>
      </c>
      <c r="O365" s="4">
        <v>-0.239794495910694</v>
      </c>
      <c r="P365" s="4">
        <v>0.02884099</v>
      </c>
      <c r="Q365" t="s">
        <v>188</v>
      </c>
      <c r="R365" s="3">
        <v>11076.6965903015</v>
      </c>
      <c r="S365" s="4">
        <v>0.0259705126470986</v>
      </c>
      <c r="T365" s="4">
        <v>-0.142988722335917</v>
      </c>
      <c r="U365" s="4">
        <v>0.0968057735747769</v>
      </c>
      <c r="V365" s="4">
        <v>-0.239794495910694</v>
      </c>
      <c r="W365" s="4">
        <v>0.02884099</v>
      </c>
    </row>
    <row r="366" spans="1:23" x14ac:dyDescent="0.25">
      <c r="A366">
        <v>93374</v>
      </c>
      <c r="B366" t="s">
        <v>134</v>
      </c>
      <c r="C366" t="s">
        <v>135</v>
      </c>
      <c r="D366">
        <v>7</v>
      </c>
      <c r="E366" s="1">
        <v>0.0943100358422939</v>
      </c>
      <c r="F366" s="1">
        <v>-0.0210318717676882</v>
      </c>
      <c r="G366" s="1">
        <v>0.2</v>
      </c>
      <c r="H366" s="1">
        <v>0.6</v>
      </c>
      <c r="I366" s="1">
        <v>0.4</v>
      </c>
      <c r="J366" t="s">
        <v>188</v>
      </c>
      <c r="K366" s="3">
        <v>6019.71638552475</v>
      </c>
      <c r="L366" s="4">
        <v>-0.00406529997514119</v>
      </c>
      <c r="M366" s="4">
        <v>0.00971229039464694</v>
      </c>
      <c r="N366" s="4">
        <v>0.0968057735747769</v>
      </c>
      <c r="O366" s="4">
        <v>-0.08709348318013</v>
      </c>
      <c r="P366" s="4">
        <v>0.02884099</v>
      </c>
      <c r="Q366" t="s">
        <v>188</v>
      </c>
      <c r="R366" s="3">
        <v>6019.71638552475</v>
      </c>
      <c r="S366" s="4">
        <v>-0.00406529997514119</v>
      </c>
      <c r="T366" s="4">
        <v>0.00971229039464694</v>
      </c>
      <c r="U366" s="4">
        <v>0.0968057735747769</v>
      </c>
      <c r="V366" s="4">
        <v>-0.08709348318013</v>
      </c>
      <c r="W366" s="4">
        <v>0.02884099</v>
      </c>
    </row>
    <row r="367" spans="1:23" x14ac:dyDescent="0.25">
      <c r="A367">
        <v>16638</v>
      </c>
      <c r="B367" t="s">
        <v>199</v>
      </c>
      <c r="C367" t="s">
        <v>200</v>
      </c>
      <c r="D367">
        <v>7</v>
      </c>
      <c r="E367" s="1">
        <v>0.0883661792752702</v>
      </c>
      <c r="F367" s="1">
        <v>-0.0980959006036473</v>
      </c>
      <c r="G367" s="1">
        <v>0.4</v>
      </c>
      <c r="H367" s="1">
        <v>0.2</v>
      </c>
      <c r="I367" s="1">
        <v>0.3</v>
      </c>
      <c r="J367" t="s">
        <v>188</v>
      </c>
      <c r="K367" s="3">
        <v>389.092963485718</v>
      </c>
      <c r="L367" s="4">
        <v>0.122819075816855</v>
      </c>
      <c r="M367" s="4">
        <v>-0.115112195769734</v>
      </c>
      <c r="N367" s="4">
        <v>0.0968057735747769</v>
      </c>
      <c r="O367" s="4">
        <v>-0.211917969344511</v>
      </c>
      <c r="P367" s="4">
        <v>0.02884099</v>
      </c>
      <c r="Q367" t="s">
        <v>188</v>
      </c>
      <c r="R367" s="3">
        <v>389.092963485718</v>
      </c>
      <c r="S367" s="4">
        <v>0.122819075816855</v>
      </c>
      <c r="T367" s="4">
        <v>-0.115112195769734</v>
      </c>
      <c r="U367" s="4">
        <v>0.0968057735747769</v>
      </c>
      <c r="V367" s="4">
        <v>-0.211917969344511</v>
      </c>
      <c r="W367" s="4">
        <v>0.02884099</v>
      </c>
    </row>
    <row r="368" spans="1:23" x14ac:dyDescent="0.25">
      <c r="A368">
        <v>47626</v>
      </c>
      <c r="B368" t="s">
        <v>77</v>
      </c>
      <c r="C368" t="s">
        <v>78</v>
      </c>
      <c r="D368">
        <v>7</v>
      </c>
      <c r="E368" s="1">
        <v>0.0677236693091733</v>
      </c>
      <c r="F368" s="1">
        <v>-0.276954254662727</v>
      </c>
      <c r="G368" s="1">
        <v>0.4</v>
      </c>
      <c r="H368" s="1">
        <v>0.2</v>
      </c>
      <c r="I368" s="1">
        <v>0.3</v>
      </c>
      <c r="J368" t="s">
        <v>188</v>
      </c>
      <c r="K368" s="3">
        <v>12781.3877171326</v>
      </c>
      <c r="L368" s="4">
        <v>0.0776090880135896</v>
      </c>
      <c r="M368" s="4">
        <v>-0.269586893787997</v>
      </c>
      <c r="N368" s="4">
        <v>0.0968057735747769</v>
      </c>
      <c r="O368" s="4">
        <v>-0.366392667362773</v>
      </c>
      <c r="P368" s="4">
        <v>0.02884099</v>
      </c>
      <c r="Q368" t="s">
        <v>188</v>
      </c>
      <c r="R368" s="3">
        <v>12781.3877171326</v>
      </c>
      <c r="S368" s="4">
        <v>0.0776090880135896</v>
      </c>
      <c r="T368" s="4">
        <v>-0.269586893787997</v>
      </c>
      <c r="U368" s="4">
        <v>0.0968057735747769</v>
      </c>
      <c r="V368" s="4">
        <v>-0.366392667362773</v>
      </c>
      <c r="W368" s="4">
        <v>0.02884099</v>
      </c>
    </row>
    <row r="369" spans="1:23" x14ac:dyDescent="0.25">
      <c r="A369">
        <v>49015</v>
      </c>
      <c r="B369" t="s">
        <v>81</v>
      </c>
      <c r="C369" t="s">
        <v>82</v>
      </c>
      <c r="D369">
        <v>7</v>
      </c>
      <c r="E369" s="1">
        <v>0.148119274995128</v>
      </c>
      <c r="F369" s="1">
        <v>-0.0349733046223576</v>
      </c>
      <c r="G369" s="1">
        <v>0.2</v>
      </c>
      <c r="H369" s="1">
        <v>0.4</v>
      </c>
      <c r="I369" s="1">
        <v>0.3</v>
      </c>
      <c r="J369" t="s">
        <v>188</v>
      </c>
      <c r="K369" s="3">
        <v>13041.0057324982</v>
      </c>
      <c r="L369" s="4">
        <v>0.149730343457281</v>
      </c>
      <c r="M369" s="4">
        <v>-0.342090311009954</v>
      </c>
      <c r="N369" s="4">
        <v>0.0968057735747769</v>
      </c>
      <c r="O369" s="4">
        <v>-0.438896084584731</v>
      </c>
      <c r="P369" s="4">
        <v>0.02884099</v>
      </c>
      <c r="Q369" t="s">
        <v>188</v>
      </c>
      <c r="R369" s="3">
        <v>13041.0057324982</v>
      </c>
      <c r="S369" s="4">
        <v>0.149730343457281</v>
      </c>
      <c r="T369" s="4">
        <v>-0.342090311009954</v>
      </c>
      <c r="U369" s="4">
        <v>0.0968057735747769</v>
      </c>
      <c r="V369" s="4">
        <v>-0.438896084584731</v>
      </c>
      <c r="W369" s="4">
        <v>0.02884099</v>
      </c>
    </row>
    <row r="370" spans="1:23" x14ac:dyDescent="0.25">
      <c r="A370">
        <v>79210</v>
      </c>
      <c r="B370" t="s">
        <v>95</v>
      </c>
      <c r="C370" t="s">
        <v>96</v>
      </c>
      <c r="D370">
        <v>7</v>
      </c>
      <c r="E370" s="1">
        <v>0.0802253440775868</v>
      </c>
      <c r="F370" s="1">
        <v>-0.0962054316066828</v>
      </c>
      <c r="G370" s="1">
        <v>0.4</v>
      </c>
      <c r="H370" s="1">
        <v>0.2</v>
      </c>
      <c r="I370" s="1">
        <v>0.3</v>
      </c>
      <c r="J370" t="s">
        <v>188</v>
      </c>
      <c r="K370" s="3">
        <v>9761.23672363281</v>
      </c>
      <c r="L370" s="4">
        <v>0.0287553245829322</v>
      </c>
      <c r="M370" s="4">
        <v>-0.37333773697358</v>
      </c>
      <c r="N370" s="4">
        <v>0.0968057735747769</v>
      </c>
      <c r="O370" s="4">
        <v>-0.470143510548357</v>
      </c>
      <c r="P370" s="4">
        <v>0.02884099</v>
      </c>
      <c r="Q370" t="s">
        <v>188</v>
      </c>
      <c r="R370" s="3">
        <v>9761.23672363281</v>
      </c>
      <c r="S370" s="4">
        <v>0.0287553245829322</v>
      </c>
      <c r="T370" s="4">
        <v>-0.37333773697358</v>
      </c>
      <c r="U370" s="4">
        <v>0.0968057735747769</v>
      </c>
      <c r="V370" s="4">
        <v>-0.470143510548357</v>
      </c>
      <c r="W370" s="4">
        <v>0.02884099</v>
      </c>
    </row>
    <row r="371" spans="1:23" x14ac:dyDescent="0.25">
      <c r="A371">
        <v>89258</v>
      </c>
      <c r="B371" t="s">
        <v>21</v>
      </c>
      <c r="C371" t="s">
        <v>22</v>
      </c>
      <c r="D371">
        <v>7</v>
      </c>
      <c r="E371" s="1">
        <v>0.1182096873084</v>
      </c>
      <c r="F371" s="1">
        <v>-0.0282162306097464</v>
      </c>
      <c r="G371" s="1">
        <v>0.2</v>
      </c>
      <c r="H371" s="1">
        <v>0.4</v>
      </c>
      <c r="I371" s="1">
        <v>0.3</v>
      </c>
      <c r="J371" t="s">
        <v>188</v>
      </c>
      <c r="K371" s="3">
        <v>41006</v>
      </c>
      <c r="L371" s="4">
        <v>0.0547658512900363</v>
      </c>
      <c r="M371" s="4">
        <v>-0.302533933326158</v>
      </c>
      <c r="N371" s="4">
        <v>0.0968057735747769</v>
      </c>
      <c r="O371" s="4">
        <v>-0.399339706900935</v>
      </c>
      <c r="P371" s="4">
        <v>0.02884099</v>
      </c>
      <c r="Q371" t="s">
        <v>188</v>
      </c>
      <c r="R371" s="3">
        <v>41006</v>
      </c>
      <c r="S371" s="4">
        <v>0.0547658512900363</v>
      </c>
      <c r="T371" s="4">
        <v>-0.302533933326158</v>
      </c>
      <c r="U371" s="4">
        <v>0.0968057735747769</v>
      </c>
      <c r="V371" s="4">
        <v>-0.399339706900935</v>
      </c>
      <c r="W371" s="4">
        <v>0.02884099</v>
      </c>
    </row>
    <row r="372" spans="1:23" x14ac:dyDescent="0.25">
      <c r="A372">
        <v>13919</v>
      </c>
      <c r="B372" t="s">
        <v>113</v>
      </c>
      <c r="C372" t="s">
        <v>114</v>
      </c>
      <c r="D372">
        <v>7</v>
      </c>
      <c r="E372" s="1">
        <v>0.236078886310905</v>
      </c>
      <c r="F372" s="1">
        <v>-0.145061604820234</v>
      </c>
      <c r="G372" s="1">
        <v>0.2</v>
      </c>
      <c r="H372" s="1">
        <v>0.2</v>
      </c>
      <c r="I372" s="1">
        <v>0.2</v>
      </c>
      <c r="J372" t="s">
        <v>188</v>
      </c>
      <c r="K372" s="3">
        <v>767.500667375565</v>
      </c>
      <c r="L372" s="4">
        <v>-0.200115677506493</v>
      </c>
      <c r="M372" s="4">
        <v>-0.117105251789187</v>
      </c>
      <c r="N372" s="4">
        <v>0.0968057735747769</v>
      </c>
      <c r="O372" s="4">
        <v>-0.213911025363964</v>
      </c>
      <c r="P372" s="4">
        <v>0.02884099</v>
      </c>
      <c r="Q372" t="s">
        <v>188</v>
      </c>
      <c r="R372" s="3">
        <v>767.500667375565</v>
      </c>
      <c r="S372" s="4">
        <v>-0.200115677506493</v>
      </c>
      <c r="T372" s="4">
        <v>-0.117105251789187</v>
      </c>
      <c r="U372" s="4">
        <v>0.0968057735747769</v>
      </c>
      <c r="V372" s="4">
        <v>-0.213911025363964</v>
      </c>
      <c r="W372" s="4">
        <v>0.02884099</v>
      </c>
    </row>
    <row r="373" spans="1:23" x14ac:dyDescent="0.25">
      <c r="A373">
        <v>16816</v>
      </c>
      <c r="B373" t="s">
        <v>201</v>
      </c>
      <c r="C373" t="s">
        <v>202</v>
      </c>
      <c r="D373">
        <v>7</v>
      </c>
      <c r="E373" s="1">
        <v>0.23753280839895</v>
      </c>
      <c r="F373" s="1">
        <v>-0.367496350487108</v>
      </c>
      <c r="G373" s="1">
        <v>0.2</v>
      </c>
      <c r="H373" s="1">
        <v>0.2</v>
      </c>
      <c r="I373" s="1">
        <v>0.2</v>
      </c>
      <c r="J373" t="s">
        <v>188</v>
      </c>
      <c r="K373" s="3">
        <v>4132.94489530563</v>
      </c>
      <c r="L373" s="4">
        <v>0.318243754731264</v>
      </c>
      <c r="M373" s="4">
        <v>-0.162862835350344</v>
      </c>
      <c r="N373" s="4">
        <v>0.0968057735747769</v>
      </c>
      <c r="O373" s="4">
        <v>-0.259668608925121</v>
      </c>
      <c r="P373" s="4">
        <v>0.02884099</v>
      </c>
      <c r="Q373" t="s">
        <v>188</v>
      </c>
      <c r="R373" s="3">
        <v>4132.94489530563</v>
      </c>
      <c r="S373" s="4">
        <v>0.318243754731264</v>
      </c>
      <c r="T373" s="4">
        <v>-0.162862835350344</v>
      </c>
      <c r="U373" s="4">
        <v>0.0968057735747769</v>
      </c>
      <c r="V373" s="4">
        <v>-0.259668608925121</v>
      </c>
      <c r="W373" s="4">
        <v>0.02884099</v>
      </c>
    </row>
    <row r="374" spans="1:23" x14ac:dyDescent="0.25">
      <c r="A374">
        <v>56822</v>
      </c>
      <c r="B374" t="s">
        <v>177</v>
      </c>
      <c r="C374" t="s">
        <v>178</v>
      </c>
      <c r="D374">
        <v>7</v>
      </c>
      <c r="E374" s="1">
        <v>0.106784170269371</v>
      </c>
      <c r="F374" s="1">
        <v>-0.20971597880119</v>
      </c>
      <c r="G374" s="1">
        <v>0.2</v>
      </c>
      <c r="H374" s="1">
        <v>0.2</v>
      </c>
      <c r="I374" s="1">
        <v>0.2</v>
      </c>
      <c r="J374" t="s">
        <v>188</v>
      </c>
      <c r="K374" s="3">
        <v>883.052</v>
      </c>
      <c r="L374" s="4">
        <v>-0.369203200190291</v>
      </c>
      <c r="M374" s="4">
        <v>-0.264140302570243</v>
      </c>
      <c r="N374" s="4">
        <v>0.0968057735747769</v>
      </c>
      <c r="O374" s="4">
        <v>-0.36094607614502</v>
      </c>
      <c r="P374" s="4">
        <v>0.02884099</v>
      </c>
      <c r="Q374" t="s">
        <v>188</v>
      </c>
      <c r="R374" s="3">
        <v>883.052</v>
      </c>
      <c r="S374" s="4">
        <v>-0.369203200190291</v>
      </c>
      <c r="T374" s="4">
        <v>-0.264140302570243</v>
      </c>
      <c r="U374" s="4">
        <v>0.0968057735747769</v>
      </c>
      <c r="V374" s="4">
        <v>-0.36094607614502</v>
      </c>
      <c r="W374" s="4">
        <v>0.02884099</v>
      </c>
    </row>
    <row r="375" spans="1:23" x14ac:dyDescent="0.25">
      <c r="A375">
        <v>76804</v>
      </c>
      <c r="B375" t="s">
        <v>107</v>
      </c>
      <c r="C375" t="s">
        <v>108</v>
      </c>
      <c r="D375">
        <v>7</v>
      </c>
      <c r="E375" s="1">
        <v>0.174952198852772</v>
      </c>
      <c r="F375" s="1">
        <v>-0.100632352748159</v>
      </c>
      <c r="G375" s="1">
        <v>0.2</v>
      </c>
      <c r="H375" s="1">
        <v>0.2</v>
      </c>
      <c r="I375" s="1">
        <v>0.2</v>
      </c>
      <c r="J375" t="s">
        <v>188</v>
      </c>
      <c r="K375" s="3">
        <v>4677.65616221809</v>
      </c>
      <c r="L375" s="4">
        <v>0.0542130135996862</v>
      </c>
      <c r="M375" s="4">
        <v>-0.381148481343168</v>
      </c>
      <c r="N375" s="4">
        <v>0.0968057735747769</v>
      </c>
      <c r="O375" s="4">
        <v>-0.477954254917945</v>
      </c>
      <c r="P375" s="4">
        <v>0.02884099</v>
      </c>
      <c r="Q375" t="s">
        <v>188</v>
      </c>
      <c r="R375" s="3">
        <v>4677.65616221809</v>
      </c>
      <c r="S375" s="4">
        <v>0.0542130135996862</v>
      </c>
      <c r="T375" s="4">
        <v>-0.381148481343168</v>
      </c>
      <c r="U375" s="4">
        <v>0.0968057735747769</v>
      </c>
      <c r="V375" s="4">
        <v>-0.477954254917945</v>
      </c>
      <c r="W375" s="4">
        <v>0.02884099</v>
      </c>
    </row>
    <row r="376" spans="1:23" x14ac:dyDescent="0.25">
      <c r="A376">
        <v>87842</v>
      </c>
      <c r="B376" t="s">
        <v>51</v>
      </c>
      <c r="C376" t="s">
        <v>52</v>
      </c>
      <c r="D376">
        <v>7</v>
      </c>
      <c r="E376" s="1">
        <v>0.120555284948855</v>
      </c>
      <c r="F376" s="1">
        <v>-0.126294365720309</v>
      </c>
      <c r="G376" s="1">
        <v>0.2</v>
      </c>
      <c r="H376" s="1">
        <v>0.2</v>
      </c>
      <c r="I376" s="1">
        <v>0.2</v>
      </c>
      <c r="J376" t="s">
        <v>188</v>
      </c>
      <c r="K376" s="3">
        <v>47204.8264898224</v>
      </c>
      <c r="L376" s="4">
        <v>0.0888450938922002</v>
      </c>
      <c r="M376" s="4">
        <v>-0.18762953055069</v>
      </c>
      <c r="N376" s="4">
        <v>0.0968057735747769</v>
      </c>
      <c r="O376" s="4">
        <v>-0.284435304125467</v>
      </c>
      <c r="P376" s="4">
        <v>0.02884099</v>
      </c>
      <c r="Q376" t="s">
        <v>188</v>
      </c>
      <c r="R376" s="3">
        <v>47204.8264898224</v>
      </c>
      <c r="S376" s="4">
        <v>0.0888450938922002</v>
      </c>
      <c r="T376" s="4">
        <v>-0.18762953055069</v>
      </c>
      <c r="U376" s="4">
        <v>0.0968057735747769</v>
      </c>
      <c r="V376" s="4">
        <v>-0.284435304125467</v>
      </c>
      <c r="W376" s="4">
        <v>0.02884099</v>
      </c>
    </row>
    <row r="377" spans="1:23" x14ac:dyDescent="0.25">
      <c r="A377">
        <v>89781</v>
      </c>
      <c r="B377" t="s">
        <v>128</v>
      </c>
      <c r="C377" t="s">
        <v>129</v>
      </c>
      <c r="D377">
        <v>7</v>
      </c>
      <c r="E377" s="1">
        <v>0.0995525727069351</v>
      </c>
      <c r="F377" s="1">
        <v>-0.114945793900364</v>
      </c>
      <c r="G377" s="1">
        <v>0.2</v>
      </c>
      <c r="H377" s="1">
        <v>0.2</v>
      </c>
      <c r="I377" s="1">
        <v>0.2</v>
      </c>
      <c r="J377" t="s">
        <v>188</v>
      </c>
      <c r="K377" s="3">
        <v>8963.2836217804</v>
      </c>
      <c r="L377" s="4">
        <v>-0.0499421616456269</v>
      </c>
      <c r="M377" s="4">
        <v>0.306200019617424</v>
      </c>
      <c r="N377" s="4">
        <v>0.0968057735747769</v>
      </c>
      <c r="O377" s="4">
        <v>0.209394246042647</v>
      </c>
      <c r="P377" s="4">
        <v>0.02884099</v>
      </c>
      <c r="Q377" t="s">
        <v>188</v>
      </c>
      <c r="R377" s="3">
        <v>8963.2836217804</v>
      </c>
      <c r="S377" s="4">
        <v>-0.0499421616456269</v>
      </c>
      <c r="T377" s="4">
        <v>0.306200019617424</v>
      </c>
      <c r="U377" s="4">
        <v>0.0968057735747769</v>
      </c>
      <c r="V377" s="4">
        <v>0.209394246042647</v>
      </c>
      <c r="W377" s="4">
        <v>0.02884099</v>
      </c>
    </row>
    <row r="378" spans="1:23" x14ac:dyDescent="0.25">
      <c r="A378">
        <v>86435</v>
      </c>
      <c r="B378" t="s">
        <v>195</v>
      </c>
      <c r="C378" t="s">
        <v>196</v>
      </c>
      <c r="D378">
        <v>8</v>
      </c>
      <c r="E378" s="1">
        <v>0.00481058328322309</v>
      </c>
      <c r="F378" s="1">
        <v>0.260826610863194</v>
      </c>
      <c r="G378" s="1">
        <v>1</v>
      </c>
      <c r="H378" s="1">
        <v>1</v>
      </c>
      <c r="I378" s="1">
        <v>1</v>
      </c>
      <c r="J378" t="s">
        <v>203</v>
      </c>
      <c r="K378" s="3">
        <v>151.692205818176</v>
      </c>
      <c r="L378" s="4">
        <v>0.0476713837788945</v>
      </c>
      <c r="M378" s="4">
        <v>-0.596552589871193</v>
      </c>
      <c r="N378" s="4">
        <v>0.436559074109985</v>
      </c>
      <c r="O378" s="4">
        <v>-1.03311166398118</v>
      </c>
      <c r="P378" s="4">
        <v>0.01890898</v>
      </c>
      <c r="Q378" t="s">
        <v>203</v>
      </c>
      <c r="R378" s="3">
        <v>151.692205818176</v>
      </c>
      <c r="S378" s="4">
        <v>0.0476713837788945</v>
      </c>
      <c r="T378" s="4">
        <v>-0.596552589871193</v>
      </c>
      <c r="U378" s="4">
        <v>0.436559074109985</v>
      </c>
      <c r="V378" s="4">
        <v>-1.03311166398118</v>
      </c>
      <c r="W378" s="4">
        <v>0.01890898</v>
      </c>
    </row>
    <row r="379" spans="1:23" x14ac:dyDescent="0.25">
      <c r="A379">
        <v>90038</v>
      </c>
      <c r="B379" t="s">
        <v>73</v>
      </c>
      <c r="C379" t="s">
        <v>74</v>
      </c>
      <c r="D379">
        <v>8</v>
      </c>
      <c r="E379" s="1">
        <v>0.0447818126335063</v>
      </c>
      <c r="F379" s="1">
        <v>0.100463159971908</v>
      </c>
      <c r="G379" s="1">
        <v>1</v>
      </c>
      <c r="H379" s="1">
        <v>1</v>
      </c>
      <c r="I379" s="1">
        <v>1</v>
      </c>
      <c r="J379" t="s">
        <v>203</v>
      </c>
      <c r="K379" s="3">
        <v>6161.45513461304</v>
      </c>
      <c r="L379" s="4">
        <v>0.252318579675957</v>
      </c>
      <c r="M379" s="4">
        <v>0.602218920694966</v>
      </c>
      <c r="N379" s="4">
        <v>0.436559074109985</v>
      </c>
      <c r="O379" s="4">
        <v>0.165659846584981</v>
      </c>
      <c r="P379" s="4">
        <v>0.01890898</v>
      </c>
      <c r="Q379" t="s">
        <v>203</v>
      </c>
      <c r="R379" s="3">
        <v>6161.45513461304</v>
      </c>
      <c r="S379" s="4">
        <v>0.252318579675957</v>
      </c>
      <c r="T379" s="4">
        <v>0.602218920694966</v>
      </c>
      <c r="U379" s="4">
        <v>0.436559074109985</v>
      </c>
      <c r="V379" s="4">
        <v>0.165659846584981</v>
      </c>
      <c r="W379" s="4">
        <v>0.01890898</v>
      </c>
    </row>
    <row r="380" spans="1:23" x14ac:dyDescent="0.25">
      <c r="A380">
        <v>93089</v>
      </c>
      <c r="B380" t="s">
        <v>37</v>
      </c>
      <c r="C380" t="s">
        <v>38</v>
      </c>
      <c r="D380">
        <v>8</v>
      </c>
      <c r="E380" s="1">
        <v>0.0184143565019419</v>
      </c>
      <c r="F380" s="1">
        <v>0.186006378605254</v>
      </c>
      <c r="G380" s="1">
        <v>1</v>
      </c>
      <c r="H380" s="1">
        <v>1</v>
      </c>
      <c r="I380" s="1">
        <v>1</v>
      </c>
      <c r="J380" t="s">
        <v>203</v>
      </c>
      <c r="K380" s="3">
        <v>27660.9035040283</v>
      </c>
      <c r="L380" s="4">
        <v>0.0885140495177654</v>
      </c>
      <c r="M380" s="4">
        <v>0.00687265649411772</v>
      </c>
      <c r="N380" s="4">
        <v>0.436559074109985</v>
      </c>
      <c r="O380" s="4">
        <v>-0.429686417615868</v>
      </c>
      <c r="P380" s="4">
        <v>0.01890898</v>
      </c>
      <c r="Q380" t="s">
        <v>203</v>
      </c>
      <c r="R380" s="3">
        <v>27660.9035040283</v>
      </c>
      <c r="S380" s="4">
        <v>0.0885140495177654</v>
      </c>
      <c r="T380" s="4">
        <v>0.00687265649411772</v>
      </c>
      <c r="U380" s="4">
        <v>0.436559074109985</v>
      </c>
      <c r="V380" s="4">
        <v>-0.429686417615868</v>
      </c>
      <c r="W380" s="4">
        <v>0.01890898</v>
      </c>
    </row>
    <row r="381" spans="1:23" x14ac:dyDescent="0.25">
      <c r="A381">
        <v>16171</v>
      </c>
      <c r="B381" t="s">
        <v>180</v>
      </c>
      <c r="C381" t="s">
        <v>181</v>
      </c>
      <c r="D381">
        <v>8</v>
      </c>
      <c r="E381" s="1">
        <v>0.0289199291756837</v>
      </c>
      <c r="F381" s="1">
        <v>0.0879261966219599</v>
      </c>
      <c r="G381" s="1">
        <v>1</v>
      </c>
      <c r="H381" s="1">
        <v>0.8</v>
      </c>
      <c r="I381" s="1">
        <v>0.9</v>
      </c>
      <c r="J381" t="s">
        <v>203</v>
      </c>
      <c r="K381" s="3">
        <v>3461.64877973938</v>
      </c>
      <c r="L381" s="4">
        <v>0.422188605851049</v>
      </c>
      <c r="M381" s="4">
        <v>0.117771696989277</v>
      </c>
      <c r="N381" s="4">
        <v>0.436559074109985</v>
      </c>
      <c r="O381" s="4">
        <v>-0.318787377120709</v>
      </c>
      <c r="P381" s="4">
        <v>0.01890898</v>
      </c>
      <c r="Q381" t="s">
        <v>203</v>
      </c>
      <c r="R381" s="3">
        <v>3461.64877973938</v>
      </c>
      <c r="S381" s="4">
        <v>0.422188605851049</v>
      </c>
      <c r="T381" s="4">
        <v>0.117771696989277</v>
      </c>
      <c r="U381" s="4">
        <v>0.436559074109985</v>
      </c>
      <c r="V381" s="4">
        <v>-0.318787377120709</v>
      </c>
      <c r="W381" s="4">
        <v>0.01890898</v>
      </c>
    </row>
    <row r="382" spans="1:23" x14ac:dyDescent="0.25">
      <c r="A382">
        <v>48653</v>
      </c>
      <c r="B382" t="s">
        <v>39</v>
      </c>
      <c r="C382" t="s">
        <v>40</v>
      </c>
      <c r="D382">
        <v>8</v>
      </c>
      <c r="E382" s="1">
        <v>0.0551129542726181</v>
      </c>
      <c r="F382" s="1">
        <v>0.357274629900357</v>
      </c>
      <c r="G382" s="1">
        <v>0.8</v>
      </c>
      <c r="H382" s="1">
        <v>1</v>
      </c>
      <c r="I382" s="1">
        <v>0.9</v>
      </c>
      <c r="J382" t="s">
        <v>203</v>
      </c>
      <c r="K382" s="3">
        <v>51262.8765</v>
      </c>
      <c r="L382" s="4">
        <v>0.140146190610065</v>
      </c>
      <c r="M382" s="4">
        <v>0.0726181073197392</v>
      </c>
      <c r="N382" s="4">
        <v>0.436559074109985</v>
      </c>
      <c r="O382" s="4">
        <v>-0.363940966790246</v>
      </c>
      <c r="P382" s="4">
        <v>0.01890898</v>
      </c>
      <c r="Q382" t="s">
        <v>203</v>
      </c>
      <c r="R382" s="3">
        <v>51262.8765</v>
      </c>
      <c r="S382" s="4">
        <v>0.140146190610065</v>
      </c>
      <c r="T382" s="4">
        <v>0.0726181073197392</v>
      </c>
      <c r="U382" s="4">
        <v>0.436559074109985</v>
      </c>
      <c r="V382" s="4">
        <v>-0.363940966790246</v>
      </c>
      <c r="W382" s="4">
        <v>0.01890898</v>
      </c>
    </row>
    <row r="383" spans="1:23" x14ac:dyDescent="0.25">
      <c r="A383">
        <v>64186</v>
      </c>
      <c r="B383" t="s">
        <v>189</v>
      </c>
      <c r="C383" t="s">
        <v>190</v>
      </c>
      <c r="D383">
        <v>8</v>
      </c>
      <c r="E383" s="1">
        <v>0.0664091153601643</v>
      </c>
      <c r="F383" s="1">
        <v>0.102391225554954</v>
      </c>
      <c r="G383" s="1">
        <v>0.8</v>
      </c>
      <c r="H383" s="1">
        <v>1</v>
      </c>
      <c r="I383" s="1">
        <v>0.9</v>
      </c>
      <c r="J383" t="s">
        <v>203</v>
      </c>
      <c r="K383" s="3">
        <v>69239.2823979187</v>
      </c>
      <c r="L383" s="4">
        <v>2.16977046340407</v>
      </c>
      <c r="M383" s="4">
        <v>0.317255090523625</v>
      </c>
      <c r="N383" s="4">
        <v>0.436559074109985</v>
      </c>
      <c r="O383" s="4">
        <v>-0.119303983586361</v>
      </c>
      <c r="P383" s="4">
        <v>0.01890898</v>
      </c>
      <c r="Q383" t="s">
        <v>203</v>
      </c>
      <c r="R383" s="3">
        <v>69239.2823979187</v>
      </c>
      <c r="S383" s="4">
        <v>2.16977046340407</v>
      </c>
      <c r="T383" s="4">
        <v>0.317255090523625</v>
      </c>
      <c r="U383" s="4">
        <v>0.436559074109985</v>
      </c>
      <c r="V383" s="4">
        <v>-0.119303983586361</v>
      </c>
      <c r="W383" s="4">
        <v>0.01890898</v>
      </c>
    </row>
    <row r="384" spans="1:23" x14ac:dyDescent="0.25">
      <c r="A384">
        <v>68292</v>
      </c>
      <c r="B384" t="s">
        <v>132</v>
      </c>
      <c r="C384" t="s">
        <v>133</v>
      </c>
      <c r="D384">
        <v>8</v>
      </c>
      <c r="E384" s="1">
        <v>0.0701027764994631</v>
      </c>
      <c r="F384" s="1">
        <v>0.111861338565763</v>
      </c>
      <c r="G384" s="1">
        <v>0.8</v>
      </c>
      <c r="H384" s="1">
        <v>1</v>
      </c>
      <c r="I384" s="1">
        <v>0.9</v>
      </c>
      <c r="J384" t="s">
        <v>203</v>
      </c>
      <c r="K384" s="3">
        <v>3154.48498039246</v>
      </c>
      <c r="L384" s="4">
        <v>0.101013868809527</v>
      </c>
      <c r="M384" s="4">
        <v>0.456578239581545</v>
      </c>
      <c r="N384" s="4">
        <v>0.436559074109985</v>
      </c>
      <c r="O384" s="4">
        <v>0.0200191654715596</v>
      </c>
      <c r="P384" s="4">
        <v>0.01890898</v>
      </c>
      <c r="Q384" t="s">
        <v>203</v>
      </c>
      <c r="R384" s="3">
        <v>3154.48498039246</v>
      </c>
      <c r="S384" s="4">
        <v>0.101013868809527</v>
      </c>
      <c r="T384" s="4">
        <v>0.456578239581545</v>
      </c>
      <c r="U384" s="4">
        <v>0.436559074109985</v>
      </c>
      <c r="V384" s="4">
        <v>0.0200191654715596</v>
      </c>
      <c r="W384" s="4">
        <v>0.01890898</v>
      </c>
    </row>
    <row r="385" spans="1:23" x14ac:dyDescent="0.25">
      <c r="A385">
        <v>76721</v>
      </c>
      <c r="B385" t="s">
        <v>193</v>
      </c>
      <c r="C385" t="s">
        <v>194</v>
      </c>
      <c r="D385">
        <v>8</v>
      </c>
      <c r="E385" s="1">
        <v>0.0380134886572655</v>
      </c>
      <c r="F385" s="1">
        <v>0.0740329542305525</v>
      </c>
      <c r="G385" s="1">
        <v>1</v>
      </c>
      <c r="H385" s="1">
        <v>0.8</v>
      </c>
      <c r="I385" s="1">
        <v>0.9</v>
      </c>
      <c r="J385" t="s">
        <v>203</v>
      </c>
      <c r="K385" s="3">
        <v>1274.38951902771</v>
      </c>
      <c r="L385" s="4">
        <v>0.0669651652189487</v>
      </c>
      <c r="M385" s="4">
        <v>0.835321831338717</v>
      </c>
      <c r="N385" s="4">
        <v>0.436559074109985</v>
      </c>
      <c r="O385" s="4">
        <v>0.398762757228732</v>
      </c>
      <c r="P385" s="4">
        <v>0.01890898</v>
      </c>
      <c r="Q385" t="s">
        <v>203</v>
      </c>
      <c r="R385" s="3">
        <v>1274.38951902771</v>
      </c>
      <c r="S385" s="4">
        <v>0.0669651652189487</v>
      </c>
      <c r="T385" s="4">
        <v>0.835321831338717</v>
      </c>
      <c r="U385" s="4">
        <v>0.436559074109985</v>
      </c>
      <c r="V385" s="4">
        <v>0.398762757228732</v>
      </c>
      <c r="W385" s="4">
        <v>0.01890898</v>
      </c>
    </row>
    <row r="386" spans="1:23" x14ac:dyDescent="0.25">
      <c r="A386">
        <v>78693</v>
      </c>
      <c r="B386" t="s">
        <v>153</v>
      </c>
      <c r="C386" t="s">
        <v>154</v>
      </c>
      <c r="D386">
        <v>8</v>
      </c>
      <c r="E386" s="1">
        <v>0.0134918820032015</v>
      </c>
      <c r="F386" s="1">
        <v>0.0422128707855949</v>
      </c>
      <c r="G386" s="1">
        <v>1</v>
      </c>
      <c r="H386" s="1">
        <v>0.8</v>
      </c>
      <c r="I386" s="1">
        <v>0.9</v>
      </c>
      <c r="J386" t="s">
        <v>203</v>
      </c>
      <c r="K386" s="3">
        <v>693.608987083435</v>
      </c>
      <c r="L386" s="4">
        <v>0.122409981255245</v>
      </c>
      <c r="M386" s="4">
        <v>0.186870228060089</v>
      </c>
      <c r="N386" s="4">
        <v>0.436559074109985</v>
      </c>
      <c r="O386" s="4">
        <v>-0.249688846049896</v>
      </c>
      <c r="P386" s="4">
        <v>0.01890898</v>
      </c>
      <c r="Q386" t="s">
        <v>203</v>
      </c>
      <c r="R386" s="3">
        <v>693.608987083435</v>
      </c>
      <c r="S386" s="4">
        <v>0.122409981255245</v>
      </c>
      <c r="T386" s="4">
        <v>0.186870228060089</v>
      </c>
      <c r="U386" s="4">
        <v>0.436559074109985</v>
      </c>
      <c r="V386" s="4">
        <v>-0.249688846049896</v>
      </c>
      <c r="W386" s="4">
        <v>0.01890898</v>
      </c>
    </row>
    <row r="387" spans="1:23" x14ac:dyDescent="0.25">
      <c r="A387">
        <v>82486</v>
      </c>
      <c r="B387" t="s">
        <v>47</v>
      </c>
      <c r="C387" t="s">
        <v>48</v>
      </c>
      <c r="D387">
        <v>8</v>
      </c>
      <c r="E387" s="1">
        <v>0.0365060240963855</v>
      </c>
      <c r="F387" s="1">
        <v>0.0793617895155422</v>
      </c>
      <c r="G387" s="1">
        <v>1</v>
      </c>
      <c r="H387" s="1">
        <v>0.8</v>
      </c>
      <c r="I387" s="1">
        <v>0.9</v>
      </c>
      <c r="J387" t="s">
        <v>203</v>
      </c>
      <c r="K387" s="3">
        <v>8863.66881808472</v>
      </c>
      <c r="L387" s="4">
        <v>0.0399150033666188</v>
      </c>
      <c r="M387" s="4">
        <v>0.145181107908825</v>
      </c>
      <c r="N387" s="4">
        <v>0.436559074109985</v>
      </c>
      <c r="O387" s="4">
        <v>-0.29137796620116</v>
      </c>
      <c r="P387" s="4">
        <v>0.01890898</v>
      </c>
      <c r="Q387" t="s">
        <v>203</v>
      </c>
      <c r="R387" s="3">
        <v>8863.66881808472</v>
      </c>
      <c r="S387" s="4">
        <v>0.0399150033666188</v>
      </c>
      <c r="T387" s="4">
        <v>0.145181107908825</v>
      </c>
      <c r="U387" s="4">
        <v>0.436559074109985</v>
      </c>
      <c r="V387" s="4">
        <v>-0.29137796620116</v>
      </c>
      <c r="W387" s="4">
        <v>0.01890898</v>
      </c>
    </row>
    <row r="388" spans="1:23" x14ac:dyDescent="0.25">
      <c r="A388">
        <v>89179</v>
      </c>
      <c r="B388" t="s">
        <v>118</v>
      </c>
      <c r="C388" t="s">
        <v>119</v>
      </c>
      <c r="D388">
        <v>8</v>
      </c>
      <c r="E388" s="1">
        <v>0.0622785815978545</v>
      </c>
      <c r="F388" s="1">
        <v>0.274028040465968</v>
      </c>
      <c r="G388" s="1">
        <v>0.8</v>
      </c>
      <c r="H388" s="1">
        <v>1</v>
      </c>
      <c r="I388" s="1">
        <v>0.9</v>
      </c>
      <c r="J388" t="s">
        <v>203</v>
      </c>
      <c r="K388" s="3">
        <v>66301.4684498291</v>
      </c>
      <c r="L388" s="4">
        <v>0.131458661310461</v>
      </c>
      <c r="M388" s="4">
        <v>0.372021134429452</v>
      </c>
      <c r="N388" s="4">
        <v>0.436559074109985</v>
      </c>
      <c r="O388" s="4">
        <v>-0.0645379396805335</v>
      </c>
      <c r="P388" s="4">
        <v>0.01890898</v>
      </c>
      <c r="Q388" t="s">
        <v>203</v>
      </c>
      <c r="R388" s="3">
        <v>66301.4684498291</v>
      </c>
      <c r="S388" s="4">
        <v>0.131458661310461</v>
      </c>
      <c r="T388" s="4">
        <v>0.372021134429452</v>
      </c>
      <c r="U388" s="4">
        <v>0.436559074109985</v>
      </c>
      <c r="V388" s="4">
        <v>-0.0645379396805335</v>
      </c>
      <c r="W388" s="4">
        <v>0.01890898</v>
      </c>
    </row>
    <row r="389" spans="1:23" x14ac:dyDescent="0.25">
      <c r="A389">
        <v>93330</v>
      </c>
      <c r="B389" t="s">
        <v>138</v>
      </c>
      <c r="C389" t="s">
        <v>139</v>
      </c>
      <c r="D389">
        <v>8</v>
      </c>
      <c r="E389" s="1">
        <v>0.0662530637254902</v>
      </c>
      <c r="F389" s="1">
        <v>0.138086592941259</v>
      </c>
      <c r="G389" s="1">
        <v>0.8</v>
      </c>
      <c r="H389" s="1">
        <v>1</v>
      </c>
      <c r="I389" s="1">
        <v>0.9</v>
      </c>
      <c r="J389" t="s">
        <v>203</v>
      </c>
      <c r="K389" s="3">
        <v>4754.83133777618</v>
      </c>
      <c r="L389" s="4">
        <v>0.0803545345589082</v>
      </c>
      <c r="M389" s="4">
        <v>0.445328350327204</v>
      </c>
      <c r="N389" s="4">
        <v>0.436559074109985</v>
      </c>
      <c r="O389" s="4">
        <v>0.00876927621721824</v>
      </c>
      <c r="P389" s="4">
        <v>0.01890898</v>
      </c>
      <c r="Q389" t="s">
        <v>203</v>
      </c>
      <c r="R389" s="3">
        <v>4754.83133777618</v>
      </c>
      <c r="S389" s="4">
        <v>0.0803545345589082</v>
      </c>
      <c r="T389" s="4">
        <v>0.445328350327204</v>
      </c>
      <c r="U389" s="4">
        <v>0.436559074109985</v>
      </c>
      <c r="V389" s="4">
        <v>0.00876927621721824</v>
      </c>
      <c r="W389" s="4">
        <v>0.01890898</v>
      </c>
    </row>
    <row r="390" spans="1:23" x14ac:dyDescent="0.25">
      <c r="A390">
        <v>13904</v>
      </c>
      <c r="B390" t="s">
        <v>111</v>
      </c>
      <c r="C390" t="s">
        <v>112</v>
      </c>
      <c r="D390">
        <v>8</v>
      </c>
      <c r="E390" s="1">
        <v>0.080026238110856</v>
      </c>
      <c r="F390" s="1">
        <v>0.165453070497683</v>
      </c>
      <c r="G390" s="1">
        <v>0.6</v>
      </c>
      <c r="H390" s="1">
        <v>1</v>
      </c>
      <c r="I390" s="1">
        <v>0.8</v>
      </c>
      <c r="J390" t="s">
        <v>203</v>
      </c>
      <c r="K390" s="3">
        <v>5884.33789247131</v>
      </c>
      <c r="L390" s="4">
        <v>-0.121916842847075</v>
      </c>
      <c r="M390" s="4">
        <v>0.470078693200243</v>
      </c>
      <c r="N390" s="4">
        <v>0.436559074109985</v>
      </c>
      <c r="O390" s="4">
        <v>0.0335196190902578</v>
      </c>
      <c r="P390" s="4">
        <v>0.01890898</v>
      </c>
      <c r="Q390" t="s">
        <v>203</v>
      </c>
      <c r="R390" s="3">
        <v>5884.33789247131</v>
      </c>
      <c r="S390" s="4">
        <v>-0.121916842847075</v>
      </c>
      <c r="T390" s="4">
        <v>0.470078693200243</v>
      </c>
      <c r="U390" s="4">
        <v>0.436559074109985</v>
      </c>
      <c r="V390" s="4">
        <v>0.0335196190902578</v>
      </c>
      <c r="W390" s="4">
        <v>0.01890898</v>
      </c>
    </row>
    <row r="391" spans="1:23" x14ac:dyDescent="0.25">
      <c r="A391">
        <v>16638</v>
      </c>
      <c r="B391" t="s">
        <v>199</v>
      </c>
      <c r="C391" t="s">
        <v>200</v>
      </c>
      <c r="D391">
        <v>8</v>
      </c>
      <c r="E391" s="1">
        <v>0.0691860465116279</v>
      </c>
      <c r="F391" s="1">
        <v>0.0896390359422132</v>
      </c>
      <c r="G391" s="1">
        <v>0.8</v>
      </c>
      <c r="H391" s="1">
        <v>0.8</v>
      </c>
      <c r="I391" s="1">
        <v>0.8</v>
      </c>
      <c r="J391" t="s">
        <v>203</v>
      </c>
      <c r="K391" s="3">
        <v>319.489879901886</v>
      </c>
      <c r="L391" s="4">
        <v>0.275034138531808</v>
      </c>
      <c r="M391" s="4">
        <v>0.271514322239805</v>
      </c>
      <c r="N391" s="4">
        <v>0.436559074109985</v>
      </c>
      <c r="O391" s="4">
        <v>-0.16504475187018</v>
      </c>
      <c r="P391" s="4">
        <v>0.01890898</v>
      </c>
      <c r="Q391" t="s">
        <v>203</v>
      </c>
      <c r="R391" s="3">
        <v>319.489879901886</v>
      </c>
      <c r="S391" s="4">
        <v>0.275034138531808</v>
      </c>
      <c r="T391" s="4">
        <v>0.271514322239805</v>
      </c>
      <c r="U391" s="4">
        <v>0.436559074109985</v>
      </c>
      <c r="V391" s="4">
        <v>-0.16504475187018</v>
      </c>
      <c r="W391" s="4">
        <v>0.01890898</v>
      </c>
    </row>
    <row r="392" spans="1:23" x14ac:dyDescent="0.25">
      <c r="A392">
        <v>17688</v>
      </c>
      <c r="B392" t="s">
        <v>204</v>
      </c>
      <c r="C392" t="s">
        <v>205</v>
      </c>
      <c r="D392">
        <v>8</v>
      </c>
      <c r="E392" s="1">
        <v>0.00566037735849057</v>
      </c>
      <c r="F392" s="1">
        <v>0.019782169610075</v>
      </c>
      <c r="G392" s="1">
        <v>1</v>
      </c>
      <c r="H392" s="1">
        <v>0.6</v>
      </c>
      <c r="I392" s="1">
        <v>0.8</v>
      </c>
      <c r="J392" t="s">
        <v>203</v>
      </c>
      <c r="K392" s="3">
        <v>1284.03350256348</v>
      </c>
      <c r="L392" s="4">
        <v>0.288255636097626</v>
      </c>
      <c r="M392" s="4">
        <v>0.515848557872539</v>
      </c>
      <c r="N392" s="4">
        <v>0.436559074109985</v>
      </c>
      <c r="O392" s="4">
        <v>0.0792894837625535</v>
      </c>
      <c r="P392" s="4">
        <v>0.01890898</v>
      </c>
      <c r="Q392" t="s">
        <v>203</v>
      </c>
      <c r="R392" s="3">
        <v>1284.03350256348</v>
      </c>
      <c r="S392" s="4">
        <v>0.288255636097626</v>
      </c>
      <c r="T392" s="4">
        <v>0.515848557872539</v>
      </c>
      <c r="U392" s="4">
        <v>0.436559074109985</v>
      </c>
      <c r="V392" s="4">
        <v>0.0792894837625535</v>
      </c>
      <c r="W392" s="4">
        <v>0.01890898</v>
      </c>
    </row>
    <row r="393" spans="1:23" x14ac:dyDescent="0.25">
      <c r="A393">
        <v>38093</v>
      </c>
      <c r="B393" t="s">
        <v>25</v>
      </c>
      <c r="C393" t="s">
        <v>26</v>
      </c>
      <c r="D393">
        <v>8</v>
      </c>
      <c r="E393" s="1">
        <v>0.0378032132731282</v>
      </c>
      <c r="F393" s="1">
        <v>0.014018853365838</v>
      </c>
      <c r="G393" s="1">
        <v>1</v>
      </c>
      <c r="H393" s="1">
        <v>0.6</v>
      </c>
      <c r="I393" s="1">
        <v>0.8</v>
      </c>
      <c r="J393" t="s">
        <v>203</v>
      </c>
      <c r="K393" s="3">
        <v>18486.1508849258</v>
      </c>
      <c r="L393" s="4">
        <v>0.0391692423235795</v>
      </c>
      <c r="M393" s="4">
        <v>0.580649634508513</v>
      </c>
      <c r="N393" s="4">
        <v>0.436559074109985</v>
      </c>
      <c r="O393" s="4">
        <v>0.144090560398527</v>
      </c>
      <c r="P393" s="4">
        <v>0.01890898</v>
      </c>
      <c r="Q393" t="s">
        <v>203</v>
      </c>
      <c r="R393" s="3">
        <v>18486.1508849258</v>
      </c>
      <c r="S393" s="4">
        <v>0.0391692423235795</v>
      </c>
      <c r="T393" s="4">
        <v>0.580649634508513</v>
      </c>
      <c r="U393" s="4">
        <v>0.436559074109985</v>
      </c>
      <c r="V393" s="4">
        <v>0.144090560398527</v>
      </c>
      <c r="W393" s="4">
        <v>0.01890898</v>
      </c>
    </row>
    <row r="394" spans="1:23" x14ac:dyDescent="0.25">
      <c r="A394">
        <v>76838</v>
      </c>
      <c r="B394" t="s">
        <v>130</v>
      </c>
      <c r="C394" t="s">
        <v>131</v>
      </c>
      <c r="D394">
        <v>8</v>
      </c>
      <c r="E394" s="1">
        <v>0.000553403431101273</v>
      </c>
      <c r="F394" s="1">
        <v>0.0028612735501955</v>
      </c>
      <c r="G394" s="1">
        <v>1</v>
      </c>
      <c r="H394" s="1">
        <v>0.6</v>
      </c>
      <c r="I394" s="1">
        <v>0.8</v>
      </c>
      <c r="J394" t="s">
        <v>203</v>
      </c>
      <c r="K394" s="3">
        <v>779.122694377899</v>
      </c>
      <c r="L394" s="4">
        <v>0.187438417273969</v>
      </c>
      <c r="M394" s="4">
        <v>0.784570744403751</v>
      </c>
      <c r="N394" s="4">
        <v>0.436559074109985</v>
      </c>
      <c r="O394" s="4">
        <v>0.348011670293766</v>
      </c>
      <c r="P394" s="4">
        <v>0.01890898</v>
      </c>
      <c r="Q394" t="s">
        <v>203</v>
      </c>
      <c r="R394" s="3">
        <v>779.122694377899</v>
      </c>
      <c r="S394" s="4">
        <v>0.187438417273969</v>
      </c>
      <c r="T394" s="4">
        <v>0.784570744403751</v>
      </c>
      <c r="U394" s="4">
        <v>0.436559074109985</v>
      </c>
      <c r="V394" s="4">
        <v>0.348011670293766</v>
      </c>
      <c r="W394" s="4">
        <v>0.01890898</v>
      </c>
    </row>
    <row r="395" spans="1:23" x14ac:dyDescent="0.25">
      <c r="A395">
        <v>78211</v>
      </c>
      <c r="B395" t="s">
        <v>165</v>
      </c>
      <c r="C395" t="s">
        <v>166</v>
      </c>
      <c r="D395">
        <v>8</v>
      </c>
      <c r="E395" s="1">
        <v>0.0489460521614863</v>
      </c>
      <c r="F395" s="1">
        <v>0.0994958328089283</v>
      </c>
      <c r="G395" s="1">
        <v>0.8</v>
      </c>
      <c r="H395" s="1">
        <v>0.8</v>
      </c>
      <c r="I395" s="1">
        <v>0.8</v>
      </c>
      <c r="J395" t="s">
        <v>203</v>
      </c>
      <c r="K395" s="3">
        <v>575.15325</v>
      </c>
      <c r="L395" s="4">
        <v>0.140243695194072</v>
      </c>
      <c r="M395" s="4">
        <v>-0.169645414058138</v>
      </c>
      <c r="N395" s="4">
        <v>0.436559074109985</v>
      </c>
      <c r="O395" s="4">
        <v>-0.606204488168123</v>
      </c>
      <c r="P395" s="4">
        <v>0.01890898</v>
      </c>
      <c r="Q395" t="s">
        <v>203</v>
      </c>
      <c r="R395" s="3">
        <v>575.15325</v>
      </c>
      <c r="S395" s="4">
        <v>0.140243695194072</v>
      </c>
      <c r="T395" s="4">
        <v>-0.169645414058138</v>
      </c>
      <c r="U395" s="4">
        <v>0.436559074109985</v>
      </c>
      <c r="V395" s="4">
        <v>-0.606204488168123</v>
      </c>
      <c r="W395" s="4">
        <v>0.01890898</v>
      </c>
    </row>
    <row r="396" spans="1:23" x14ac:dyDescent="0.25">
      <c r="A396">
        <v>87666</v>
      </c>
      <c r="B396" t="s">
        <v>35</v>
      </c>
      <c r="C396" t="s">
        <v>36</v>
      </c>
      <c r="D396">
        <v>8</v>
      </c>
      <c r="E396" s="1">
        <v>0.0746495524404661</v>
      </c>
      <c r="F396" s="1">
        <v>0.126414263555021</v>
      </c>
      <c r="G396" s="1">
        <v>0.6</v>
      </c>
      <c r="H396" s="1">
        <v>1</v>
      </c>
      <c r="I396" s="1">
        <v>0.8</v>
      </c>
      <c r="J396" t="s">
        <v>203</v>
      </c>
      <c r="K396" s="3">
        <v>21485.1525</v>
      </c>
      <c r="L396" s="4">
        <v>0.509523809523809</v>
      </c>
      <c r="M396" s="4">
        <v>0.624503905155446</v>
      </c>
      <c r="N396" s="4">
        <v>0.436559074109985</v>
      </c>
      <c r="O396" s="4">
        <v>0.187944831045461</v>
      </c>
      <c r="P396" s="4">
        <v>0.01890898</v>
      </c>
      <c r="Q396" t="s">
        <v>203</v>
      </c>
      <c r="R396" s="3">
        <v>21485.1525</v>
      </c>
      <c r="S396" s="4">
        <v>0.509523809523809</v>
      </c>
      <c r="T396" s="4">
        <v>0.624503905155446</v>
      </c>
      <c r="U396" s="4">
        <v>0.436559074109985</v>
      </c>
      <c r="V396" s="4">
        <v>0.187944831045461</v>
      </c>
      <c r="W396" s="4">
        <v>0.01890898</v>
      </c>
    </row>
    <row r="397" spans="1:23" x14ac:dyDescent="0.25">
      <c r="A397">
        <v>92655</v>
      </c>
      <c r="B397" t="s">
        <v>91</v>
      </c>
      <c r="C397" t="s">
        <v>92</v>
      </c>
      <c r="D397">
        <v>8</v>
      </c>
      <c r="E397" s="1">
        <v>0.0494931628001905</v>
      </c>
      <c r="F397" s="1">
        <v>0.0761626241817466</v>
      </c>
      <c r="G397" s="1">
        <v>0.8</v>
      </c>
      <c r="H397" s="1">
        <v>0.8</v>
      </c>
      <c r="I397" s="1">
        <v>0.8</v>
      </c>
      <c r="J397" t="s">
        <v>203</v>
      </c>
      <c r="K397" s="3">
        <v>279724.692576904</v>
      </c>
      <c r="L397" s="4">
        <v>0.0703125345308446</v>
      </c>
      <c r="M397" s="4">
        <v>0.371838530242762</v>
      </c>
      <c r="N397" s="4">
        <v>0.436559074109985</v>
      </c>
      <c r="O397" s="4">
        <v>-0.0647205438672229</v>
      </c>
      <c r="P397" s="4">
        <v>0.01890898</v>
      </c>
      <c r="Q397" t="s">
        <v>203</v>
      </c>
      <c r="R397" s="3">
        <v>279724.692576904</v>
      </c>
      <c r="S397" s="4">
        <v>0.0703125345308446</v>
      </c>
      <c r="T397" s="4">
        <v>0.371838530242762</v>
      </c>
      <c r="U397" s="4">
        <v>0.436559074109985</v>
      </c>
      <c r="V397" s="4">
        <v>-0.0647205438672229</v>
      </c>
      <c r="W397" s="4">
        <v>0.01890898</v>
      </c>
    </row>
    <row r="398" spans="1:23" x14ac:dyDescent="0.25">
      <c r="A398">
        <v>14318</v>
      </c>
      <c r="B398" t="s">
        <v>161</v>
      </c>
      <c r="C398" t="s">
        <v>162</v>
      </c>
      <c r="D398">
        <v>8</v>
      </c>
      <c r="E398" s="1">
        <v>0.0765521398432791</v>
      </c>
      <c r="F398" s="1">
        <v>0.0544466898038111</v>
      </c>
      <c r="G398" s="1">
        <v>0.6</v>
      </c>
      <c r="H398" s="1">
        <v>0.8</v>
      </c>
      <c r="I398" s="1">
        <v>0.7</v>
      </c>
      <c r="J398" t="s">
        <v>203</v>
      </c>
      <c r="K398" s="3">
        <v>1363.66439352989</v>
      </c>
      <c r="L398" s="4">
        <v>0.377223888737388</v>
      </c>
      <c r="M398" s="4">
        <v>0.57435735215573</v>
      </c>
      <c r="N398" s="4">
        <v>0.436559074109985</v>
      </c>
      <c r="O398" s="4">
        <v>0.137798278045745</v>
      </c>
      <c r="P398" s="4">
        <v>0.01890898</v>
      </c>
      <c r="Q398" t="s">
        <v>203</v>
      </c>
      <c r="R398" s="3">
        <v>1363.66439352989</v>
      </c>
      <c r="S398" s="4">
        <v>0.377223888737388</v>
      </c>
      <c r="T398" s="4">
        <v>0.57435735215573</v>
      </c>
      <c r="U398" s="4">
        <v>0.436559074109985</v>
      </c>
      <c r="V398" s="4">
        <v>0.137798278045745</v>
      </c>
      <c r="W398" s="4">
        <v>0.01890898</v>
      </c>
    </row>
    <row r="399" spans="1:23" x14ac:dyDescent="0.25">
      <c r="A399">
        <v>17743</v>
      </c>
      <c r="B399" t="s">
        <v>75</v>
      </c>
      <c r="C399" t="s">
        <v>76</v>
      </c>
      <c r="D399">
        <v>8</v>
      </c>
      <c r="E399" s="1">
        <v>0.0518089725036179</v>
      </c>
      <c r="F399" s="1">
        <v>-0.016904073555517</v>
      </c>
      <c r="G399" s="1">
        <v>0.8</v>
      </c>
      <c r="H399" s="1">
        <v>0.6</v>
      </c>
      <c r="I399" s="1">
        <v>0.7</v>
      </c>
      <c r="J399" t="s">
        <v>203</v>
      </c>
      <c r="K399" s="3">
        <v>10239.0981236267</v>
      </c>
      <c r="L399" s="4">
        <v>0.0330638373412192</v>
      </c>
      <c r="M399" s="4">
        <v>0.355878043511827</v>
      </c>
      <c r="N399" s="4">
        <v>0.436559074109985</v>
      </c>
      <c r="O399" s="4">
        <v>-0.080681030598158</v>
      </c>
      <c r="P399" s="4">
        <v>0.01890898</v>
      </c>
      <c r="Q399" t="s">
        <v>203</v>
      </c>
      <c r="R399" s="3">
        <v>10239.0981236267</v>
      </c>
      <c r="S399" s="4">
        <v>0.0330638373412192</v>
      </c>
      <c r="T399" s="4">
        <v>0.355878043511827</v>
      </c>
      <c r="U399" s="4">
        <v>0.436559074109985</v>
      </c>
      <c r="V399" s="4">
        <v>-0.080681030598158</v>
      </c>
      <c r="W399" s="4">
        <v>0.01890898</v>
      </c>
    </row>
    <row r="400" spans="1:23" x14ac:dyDescent="0.25">
      <c r="A400">
        <v>45751</v>
      </c>
      <c r="B400" t="s">
        <v>27</v>
      </c>
      <c r="C400" t="s">
        <v>28</v>
      </c>
      <c r="D400">
        <v>8</v>
      </c>
      <c r="E400" s="1">
        <v>0.030876941028633</v>
      </c>
      <c r="F400" s="1">
        <v>-0.0274945566269724</v>
      </c>
      <c r="G400" s="1">
        <v>1</v>
      </c>
      <c r="H400" s="1">
        <v>0.4</v>
      </c>
      <c r="I400" s="1">
        <v>0.7</v>
      </c>
      <c r="J400" t="s">
        <v>203</v>
      </c>
      <c r="K400" s="3">
        <v>54782.6449113693</v>
      </c>
      <c r="L400" s="4">
        <v>0.113846153846154</v>
      </c>
      <c r="M400" s="4">
        <v>0.32738359852578</v>
      </c>
      <c r="N400" s="4">
        <v>0.436559074109985</v>
      </c>
      <c r="O400" s="4">
        <v>-0.109175475584206</v>
      </c>
      <c r="P400" s="4">
        <v>0.01890898</v>
      </c>
      <c r="Q400" t="s">
        <v>203</v>
      </c>
      <c r="R400" s="3">
        <v>54782.6449113693</v>
      </c>
      <c r="S400" s="4">
        <v>0.113846153846154</v>
      </c>
      <c r="T400" s="4">
        <v>0.32738359852578</v>
      </c>
      <c r="U400" s="4">
        <v>0.436559074109985</v>
      </c>
      <c r="V400" s="4">
        <v>-0.109175475584206</v>
      </c>
      <c r="W400" s="4">
        <v>0.01890898</v>
      </c>
    </row>
    <row r="401" spans="1:23" x14ac:dyDescent="0.25">
      <c r="A401">
        <v>59459</v>
      </c>
      <c r="B401" t="s">
        <v>63</v>
      </c>
      <c r="C401" t="s">
        <v>64</v>
      </c>
      <c r="D401">
        <v>8</v>
      </c>
      <c r="E401" s="1">
        <v>0.0730923694779116</v>
      </c>
      <c r="F401" s="1">
        <v>0.0975840000677455</v>
      </c>
      <c r="G401" s="1">
        <v>0.6</v>
      </c>
      <c r="H401" s="1">
        <v>0.8</v>
      </c>
      <c r="I401" s="1">
        <v>0.7</v>
      </c>
      <c r="J401" t="s">
        <v>203</v>
      </c>
      <c r="K401" s="3">
        <v>28835.9465715942</v>
      </c>
      <c r="L401" s="4">
        <v>0.0472306715245513</v>
      </c>
      <c r="M401" s="4">
        <v>0.533540375557246</v>
      </c>
      <c r="N401" s="4">
        <v>0.436559074109985</v>
      </c>
      <c r="O401" s="4">
        <v>0.0969813014472607</v>
      </c>
      <c r="P401" s="4">
        <v>0.01890898</v>
      </c>
      <c r="Q401" t="s">
        <v>203</v>
      </c>
      <c r="R401" s="3">
        <v>28835.9465715942</v>
      </c>
      <c r="S401" s="4">
        <v>0.0472306715245513</v>
      </c>
      <c r="T401" s="4">
        <v>0.533540375557246</v>
      </c>
      <c r="U401" s="4">
        <v>0.436559074109985</v>
      </c>
      <c r="V401" s="4">
        <v>0.0969813014472607</v>
      </c>
      <c r="W401" s="4">
        <v>0.01890898</v>
      </c>
    </row>
    <row r="402" spans="1:23" x14ac:dyDescent="0.25">
      <c r="A402">
        <v>65294</v>
      </c>
      <c r="B402" t="s">
        <v>191</v>
      </c>
      <c r="C402" t="s">
        <v>192</v>
      </c>
      <c r="D402">
        <v>8</v>
      </c>
      <c r="E402" s="1">
        <v>0.0475449900022217</v>
      </c>
      <c r="F402" s="1">
        <v>-0.00261641602435297</v>
      </c>
      <c r="G402" s="1">
        <v>0.8</v>
      </c>
      <c r="H402" s="1">
        <v>0.6</v>
      </c>
      <c r="I402" s="1">
        <v>0.7</v>
      </c>
      <c r="J402" t="s">
        <v>203</v>
      </c>
      <c r="K402" s="3">
        <v>3688.17823145294</v>
      </c>
      <c r="L402" s="4">
        <v>0.22014472631602</v>
      </c>
      <c r="M402" s="4">
        <v>0.362975822406867</v>
      </c>
      <c r="N402" s="4">
        <v>0.436559074109985</v>
      </c>
      <c r="O402" s="4">
        <v>-0.0735832517031187</v>
      </c>
      <c r="P402" s="4">
        <v>0.01890898</v>
      </c>
      <c r="Q402" t="s">
        <v>203</v>
      </c>
      <c r="R402" s="3">
        <v>3688.17823145294</v>
      </c>
      <c r="S402" s="4">
        <v>0.22014472631602</v>
      </c>
      <c r="T402" s="4">
        <v>0.362975822406867</v>
      </c>
      <c r="U402" s="4">
        <v>0.436559074109985</v>
      </c>
      <c r="V402" s="4">
        <v>-0.0735832517031187</v>
      </c>
      <c r="W402" s="4">
        <v>0.01890898</v>
      </c>
    </row>
    <row r="403" spans="1:23" x14ac:dyDescent="0.25">
      <c r="A403">
        <v>72980</v>
      </c>
      <c r="B403" t="s">
        <v>151</v>
      </c>
      <c r="C403" t="s">
        <v>152</v>
      </c>
      <c r="D403">
        <v>8</v>
      </c>
      <c r="E403" s="1">
        <v>0.081637656288306</v>
      </c>
      <c r="F403" s="1">
        <v>0.0644558164958021</v>
      </c>
      <c r="G403" s="1">
        <v>0.6</v>
      </c>
      <c r="H403" s="1">
        <v>0.8</v>
      </c>
      <c r="I403" s="1">
        <v>0.7</v>
      </c>
      <c r="J403" t="s">
        <v>203</v>
      </c>
      <c r="K403" s="3">
        <v>769.934290248871</v>
      </c>
      <c r="L403" s="4">
        <v>-0.00811685244166928</v>
      </c>
      <c r="M403" s="4">
        <v>1.0148129110568</v>
      </c>
      <c r="N403" s="4">
        <v>0.436559074109985</v>
      </c>
      <c r="O403" s="4">
        <v>0.578253836946818</v>
      </c>
      <c r="P403" s="4">
        <v>0.01890898</v>
      </c>
      <c r="Q403" t="s">
        <v>203</v>
      </c>
      <c r="R403" s="3">
        <v>769.934290248871</v>
      </c>
      <c r="S403" s="4">
        <v>-0.00811685244166928</v>
      </c>
      <c r="T403" s="4">
        <v>1.0148129110568</v>
      </c>
      <c r="U403" s="4">
        <v>0.436559074109985</v>
      </c>
      <c r="V403" s="4">
        <v>0.578253836946818</v>
      </c>
      <c r="W403" s="4">
        <v>0.01890898</v>
      </c>
    </row>
    <row r="404" spans="1:23" x14ac:dyDescent="0.25">
      <c r="A404">
        <v>76722</v>
      </c>
      <c r="B404" t="s">
        <v>143</v>
      </c>
      <c r="C404" t="s">
        <v>144</v>
      </c>
      <c r="D404">
        <v>8</v>
      </c>
      <c r="E404" s="1">
        <v>0.0647969052224371</v>
      </c>
      <c r="F404" s="1">
        <v>-0.00238247858233681</v>
      </c>
      <c r="G404" s="1">
        <v>0.8</v>
      </c>
      <c r="H404" s="1">
        <v>0.6</v>
      </c>
      <c r="I404" s="1">
        <v>0.7</v>
      </c>
      <c r="J404" t="s">
        <v>203</v>
      </c>
      <c r="K404" s="3">
        <v>781.830016708374</v>
      </c>
      <c r="L404" s="4">
        <v>0.105188901081674</v>
      </c>
      <c r="M404" s="4">
        <v>-0.0296090420321336</v>
      </c>
      <c r="N404" s="4">
        <v>0.436559074109985</v>
      </c>
      <c r="O404" s="4">
        <v>-0.466168116142119</v>
      </c>
      <c r="P404" s="4">
        <v>0.01890898</v>
      </c>
      <c r="Q404" t="s">
        <v>203</v>
      </c>
      <c r="R404" s="3">
        <v>781.830016708374</v>
      </c>
      <c r="S404" s="4">
        <v>0.105188901081674</v>
      </c>
      <c r="T404" s="4">
        <v>-0.0296090420321336</v>
      </c>
      <c r="U404" s="4">
        <v>0.436559074109985</v>
      </c>
      <c r="V404" s="4">
        <v>-0.466168116142119</v>
      </c>
      <c r="W404" s="4">
        <v>0.01890898</v>
      </c>
    </row>
    <row r="405" spans="1:23" x14ac:dyDescent="0.25">
      <c r="A405">
        <v>77120</v>
      </c>
      <c r="B405" t="s">
        <v>124</v>
      </c>
      <c r="C405" t="s">
        <v>125</v>
      </c>
      <c r="D405">
        <v>8</v>
      </c>
      <c r="E405" s="1">
        <v>0.101236830050389</v>
      </c>
      <c r="F405" s="1">
        <v>0.203698503565079</v>
      </c>
      <c r="G405" s="1">
        <v>0.4</v>
      </c>
      <c r="H405" s="1">
        <v>1</v>
      </c>
      <c r="I405" s="1">
        <v>0.7</v>
      </c>
      <c r="J405" t="s">
        <v>203</v>
      </c>
      <c r="K405" s="3">
        <v>1516.65514109802</v>
      </c>
      <c r="L405" s="4">
        <v>0.194354157863548</v>
      </c>
      <c r="M405" s="4">
        <v>0.12648243920784</v>
      </c>
      <c r="N405" s="4">
        <v>0.436559074109985</v>
      </c>
      <c r="O405" s="4">
        <v>-0.310076634902145</v>
      </c>
      <c r="P405" s="4">
        <v>0.01890898</v>
      </c>
      <c r="Q405" t="s">
        <v>203</v>
      </c>
      <c r="R405" s="3">
        <v>1516.65514109802</v>
      </c>
      <c r="S405" s="4">
        <v>0.194354157863548</v>
      </c>
      <c r="T405" s="4">
        <v>0.12648243920784</v>
      </c>
      <c r="U405" s="4">
        <v>0.436559074109985</v>
      </c>
      <c r="V405" s="4">
        <v>-0.310076634902145</v>
      </c>
      <c r="W405" s="4">
        <v>0.01890898</v>
      </c>
    </row>
    <row r="406" spans="1:23" x14ac:dyDescent="0.25">
      <c r="A406">
        <v>82292</v>
      </c>
      <c r="B406" t="s">
        <v>19</v>
      </c>
      <c r="C406" t="s">
        <v>20</v>
      </c>
      <c r="D406">
        <v>8</v>
      </c>
      <c r="E406" s="1">
        <v>0.0784371112899686</v>
      </c>
      <c r="F406" s="1">
        <v>0.047547353162087</v>
      </c>
      <c r="G406" s="1">
        <v>0.6</v>
      </c>
      <c r="H406" s="1">
        <v>0.8</v>
      </c>
      <c r="I406" s="1">
        <v>0.7</v>
      </c>
      <c r="J406" t="s">
        <v>203</v>
      </c>
      <c r="K406" s="3">
        <v>3850.33740957642</v>
      </c>
      <c r="L406" s="4">
        <v>0.0882006096611262</v>
      </c>
      <c r="M406" s="4">
        <v>0.424806876748382</v>
      </c>
      <c r="N406" s="4">
        <v>0.436559074109985</v>
      </c>
      <c r="O406" s="4">
        <v>-0.0117521973616033</v>
      </c>
      <c r="P406" s="4">
        <v>0.01890898</v>
      </c>
      <c r="Q406" t="s">
        <v>203</v>
      </c>
      <c r="R406" s="3">
        <v>3850.33740957642</v>
      </c>
      <c r="S406" s="4">
        <v>0.0882006096611262</v>
      </c>
      <c r="T406" s="4">
        <v>0.424806876748382</v>
      </c>
      <c r="U406" s="4">
        <v>0.436559074109985</v>
      </c>
      <c r="V406" s="4">
        <v>-0.0117521973616033</v>
      </c>
      <c r="W406" s="4">
        <v>0.01890898</v>
      </c>
    </row>
    <row r="407" spans="1:23" x14ac:dyDescent="0.25">
      <c r="A407">
        <v>82775</v>
      </c>
      <c r="B407" t="s">
        <v>97</v>
      </c>
      <c r="C407" t="s">
        <v>98</v>
      </c>
      <c r="D407">
        <v>8</v>
      </c>
      <c r="E407" s="1">
        <v>0.0941253908178377</v>
      </c>
      <c r="F407" s="1">
        <v>0.178974309189346</v>
      </c>
      <c r="G407" s="1">
        <v>0.4</v>
      </c>
      <c r="H407" s="1">
        <v>1</v>
      </c>
      <c r="I407" s="1">
        <v>0.7</v>
      </c>
      <c r="J407" t="s">
        <v>203</v>
      </c>
      <c r="K407" s="3">
        <v>13803.7909768105</v>
      </c>
      <c r="L407" s="4">
        <v>0.0924414572998346</v>
      </c>
      <c r="M407" s="4">
        <v>0.754387235180386</v>
      </c>
      <c r="N407" s="4">
        <v>0.436559074109985</v>
      </c>
      <c r="O407" s="4">
        <v>0.3178281610704</v>
      </c>
      <c r="P407" s="4">
        <v>0.01890898</v>
      </c>
      <c r="Q407" t="s">
        <v>203</v>
      </c>
      <c r="R407" s="3">
        <v>13803.7909768105</v>
      </c>
      <c r="S407" s="4">
        <v>0.0924414572998346</v>
      </c>
      <c r="T407" s="4">
        <v>0.754387235180386</v>
      </c>
      <c r="U407" s="4">
        <v>0.436559074109985</v>
      </c>
      <c r="V407" s="4">
        <v>0.3178281610704</v>
      </c>
      <c r="W407" s="4">
        <v>0.01890898</v>
      </c>
    </row>
    <row r="408" spans="1:23" x14ac:dyDescent="0.25">
      <c r="A408">
        <v>90963</v>
      </c>
      <c r="B408" t="s">
        <v>159</v>
      </c>
      <c r="C408" t="s">
        <v>160</v>
      </c>
      <c r="D408">
        <v>8</v>
      </c>
      <c r="E408" s="1">
        <v>0.0729971225200666</v>
      </c>
      <c r="F408" s="1">
        <v>0.0993572452398215</v>
      </c>
      <c r="G408" s="1">
        <v>0.6</v>
      </c>
      <c r="H408" s="1">
        <v>0.8</v>
      </c>
      <c r="I408" s="1">
        <v>0.7</v>
      </c>
      <c r="J408" t="s">
        <v>203</v>
      </c>
      <c r="K408" s="3">
        <v>1182.28395705032</v>
      </c>
      <c r="L408" s="4">
        <v>-0.0195445171845094</v>
      </c>
      <c r="M408" s="4">
        <v>0.156878037341723</v>
      </c>
      <c r="N408" s="4">
        <v>0.436559074109985</v>
      </c>
      <c r="O408" s="4">
        <v>-0.279681036768262</v>
      </c>
      <c r="P408" s="4">
        <v>0.01890898</v>
      </c>
      <c r="Q408" t="s">
        <v>203</v>
      </c>
      <c r="R408" s="3">
        <v>1182.28395705032</v>
      </c>
      <c r="S408" s="4">
        <v>-0.0195445171845094</v>
      </c>
      <c r="T408" s="4">
        <v>0.156878037341723</v>
      </c>
      <c r="U408" s="4">
        <v>0.436559074109985</v>
      </c>
      <c r="V408" s="4">
        <v>-0.279681036768262</v>
      </c>
      <c r="W408" s="4">
        <v>0.01890898</v>
      </c>
    </row>
    <row r="409" spans="1:23" x14ac:dyDescent="0.25">
      <c r="A409">
        <v>76136</v>
      </c>
      <c r="B409" t="s">
        <v>59</v>
      </c>
      <c r="C409" t="s">
        <v>60</v>
      </c>
      <c r="D409">
        <v>8</v>
      </c>
      <c r="E409" s="1">
        <v>0.103741935483871</v>
      </c>
      <c r="F409" s="1">
        <v>0.0448202252241239</v>
      </c>
      <c r="G409" s="1">
        <v>0.4</v>
      </c>
      <c r="H409" s="1">
        <v>0.8</v>
      </c>
      <c r="I409" s="1">
        <v>0.6</v>
      </c>
      <c r="J409" t="s">
        <v>203</v>
      </c>
      <c r="K409" s="3">
        <v>4732.00230095673</v>
      </c>
      <c r="L409" s="4">
        <v>0.363174206176599</v>
      </c>
      <c r="M409" s="4">
        <v>0.200049342106026</v>
      </c>
      <c r="N409" s="4">
        <v>0.436559074109985</v>
      </c>
      <c r="O409" s="4">
        <v>-0.236509732003959</v>
      </c>
      <c r="P409" s="4">
        <v>0.01890898</v>
      </c>
      <c r="Q409" t="s">
        <v>203</v>
      </c>
      <c r="R409" s="3">
        <v>4732.00230095673</v>
      </c>
      <c r="S409" s="4">
        <v>0.363174206176599</v>
      </c>
      <c r="T409" s="4">
        <v>0.200049342106026</v>
      </c>
      <c r="U409" s="4">
        <v>0.436559074109985</v>
      </c>
      <c r="V409" s="4">
        <v>-0.236509732003959</v>
      </c>
      <c r="W409" s="4">
        <v>0.01890898</v>
      </c>
    </row>
    <row r="410" spans="1:23" x14ac:dyDescent="0.25">
      <c r="A410">
        <v>87212</v>
      </c>
      <c r="B410" t="s">
        <v>49</v>
      </c>
      <c r="C410" t="s">
        <v>50</v>
      </c>
      <c r="D410">
        <v>8</v>
      </c>
      <c r="E410" s="1">
        <v>0.105083459787557</v>
      </c>
      <c r="F410" s="1">
        <v>0.0316078705460838</v>
      </c>
      <c r="G410" s="1">
        <v>0.4</v>
      </c>
      <c r="H410" s="1">
        <v>0.8</v>
      </c>
      <c r="I410" s="1">
        <v>0.6</v>
      </c>
      <c r="J410" t="s">
        <v>203</v>
      </c>
      <c r="K410" s="3">
        <v>26415.499458046</v>
      </c>
      <c r="L410" s="4">
        <v>1.09928174549397</v>
      </c>
      <c r="M410" s="4">
        <v>0.768320769914658</v>
      </c>
      <c r="N410" s="4">
        <v>0.436559074109985</v>
      </c>
      <c r="O410" s="4">
        <v>0.331761695804672</v>
      </c>
      <c r="P410" s="4">
        <v>0.01890898</v>
      </c>
      <c r="Q410" t="s">
        <v>203</v>
      </c>
      <c r="R410" s="3">
        <v>26415.499458046</v>
      </c>
      <c r="S410" s="4">
        <v>1.09928174549397</v>
      </c>
      <c r="T410" s="4">
        <v>0.768320769914658</v>
      </c>
      <c r="U410" s="4">
        <v>0.436559074109985</v>
      </c>
      <c r="V410" s="4">
        <v>0.331761695804672</v>
      </c>
      <c r="W410" s="4">
        <v>0.01890898</v>
      </c>
    </row>
    <row r="411" spans="1:23" x14ac:dyDescent="0.25">
      <c r="A411">
        <v>89269</v>
      </c>
      <c r="B411" t="s">
        <v>103</v>
      </c>
      <c r="C411" t="s">
        <v>104</v>
      </c>
      <c r="D411">
        <v>8</v>
      </c>
      <c r="E411" s="1">
        <v>0.0507396214410689</v>
      </c>
      <c r="F411" s="1">
        <v>-0.0887841937797555</v>
      </c>
      <c r="G411" s="1">
        <v>0.8</v>
      </c>
      <c r="H411" s="1">
        <v>0.4</v>
      </c>
      <c r="I411" s="1">
        <v>0.6</v>
      </c>
      <c r="J411" t="s">
        <v>203</v>
      </c>
      <c r="K411" s="3">
        <v>36803.6475081596</v>
      </c>
      <c r="L411" s="4">
        <v>0.24158293965001</v>
      </c>
      <c r="M411" s="4">
        <v>0.110943377734804</v>
      </c>
      <c r="N411" s="4">
        <v>0.436559074109985</v>
      </c>
      <c r="O411" s="4">
        <v>-0.325615696375181</v>
      </c>
      <c r="P411" s="4">
        <v>0.01890898</v>
      </c>
      <c r="Q411" t="s">
        <v>203</v>
      </c>
      <c r="R411" s="3">
        <v>36803.6475081596</v>
      </c>
      <c r="S411" s="4">
        <v>0.24158293965001</v>
      </c>
      <c r="T411" s="4">
        <v>0.110943377734804</v>
      </c>
      <c r="U411" s="4">
        <v>0.436559074109985</v>
      </c>
      <c r="V411" s="4">
        <v>-0.325615696375181</v>
      </c>
      <c r="W411" s="4">
        <v>0.01890898</v>
      </c>
    </row>
    <row r="412" spans="1:23" x14ac:dyDescent="0.25">
      <c r="A412">
        <v>10239</v>
      </c>
      <c r="B412" t="s">
        <v>206</v>
      </c>
      <c r="C412" t="s">
        <v>207</v>
      </c>
      <c r="D412">
        <v>8</v>
      </c>
      <c r="E412" s="1">
        <v>0.0310752019888129</v>
      </c>
      <c r="F412" s="1">
        <v>-0.210121527873676</v>
      </c>
      <c r="G412" s="1">
        <v>1</v>
      </c>
      <c r="H412" s="1">
        <v>0.2</v>
      </c>
      <c r="I412" s="1">
        <v>0.6</v>
      </c>
      <c r="J412" t="s">
        <v>203</v>
      </c>
      <c r="K412" s="3">
        <v>174.962696456909</v>
      </c>
      <c r="L412" s="4">
        <v>0.101315014982877</v>
      </c>
      <c r="M412" s="4">
        <v>0.724427957127689</v>
      </c>
      <c r="N412" s="4">
        <v>0.436559074109985</v>
      </c>
      <c r="O412" s="4">
        <v>0.287868883017704</v>
      </c>
      <c r="P412" s="4">
        <v>0.01890898</v>
      </c>
      <c r="Q412" t="s">
        <v>203</v>
      </c>
      <c r="R412" s="3">
        <v>174.962696456909</v>
      </c>
      <c r="S412" s="4">
        <v>0.101315014982877</v>
      </c>
      <c r="T412" s="4">
        <v>0.724427957127689</v>
      </c>
      <c r="U412" s="4">
        <v>0.436559074109985</v>
      </c>
      <c r="V412" s="4">
        <v>0.287868883017704</v>
      </c>
      <c r="W412" s="4">
        <v>0.01890898</v>
      </c>
    </row>
    <row r="413" spans="1:23" x14ac:dyDescent="0.25">
      <c r="A413">
        <v>43837</v>
      </c>
      <c r="B413" t="s">
        <v>169</v>
      </c>
      <c r="C413" t="s">
        <v>170</v>
      </c>
      <c r="D413">
        <v>8</v>
      </c>
      <c r="E413" s="1">
        <v>0.0197243346007605</v>
      </c>
      <c r="F413" s="1">
        <v>-0.121880100876202</v>
      </c>
      <c r="G413" s="1">
        <v>1</v>
      </c>
      <c r="H413" s="1">
        <v>0.2</v>
      </c>
      <c r="I413" s="1">
        <v>0.6</v>
      </c>
      <c r="J413" t="s">
        <v>203</v>
      </c>
      <c r="K413" s="3">
        <v>452.303742256165</v>
      </c>
      <c r="L413" s="4">
        <v>0.0696520658765864</v>
      </c>
      <c r="M413" s="4">
        <v>0.534405930357231</v>
      </c>
      <c r="N413" s="4">
        <v>0.436559074109985</v>
      </c>
      <c r="O413" s="4">
        <v>0.0978468562472459</v>
      </c>
      <c r="P413" s="4">
        <v>0.01890898</v>
      </c>
      <c r="Q413" t="s">
        <v>203</v>
      </c>
      <c r="R413" s="3">
        <v>452.303742256165</v>
      </c>
      <c r="S413" s="4">
        <v>0.0696520658765864</v>
      </c>
      <c r="T413" s="4">
        <v>0.534405930357231</v>
      </c>
      <c r="U413" s="4">
        <v>0.436559074109985</v>
      </c>
      <c r="V413" s="4">
        <v>0.0978468562472459</v>
      </c>
      <c r="W413" s="4">
        <v>0.01890898</v>
      </c>
    </row>
    <row r="414" spans="1:23" x14ac:dyDescent="0.25">
      <c r="A414">
        <v>63467</v>
      </c>
      <c r="B414" t="s">
        <v>43</v>
      </c>
      <c r="C414" t="s">
        <v>44</v>
      </c>
      <c r="D414">
        <v>8</v>
      </c>
      <c r="E414" s="1">
        <v>0.03596757852077</v>
      </c>
      <c r="F414" s="1">
        <v>-0.168158413483801</v>
      </c>
      <c r="G414" s="1">
        <v>1</v>
      </c>
      <c r="H414" s="1">
        <v>0.2</v>
      </c>
      <c r="I414" s="1">
        <v>0.6</v>
      </c>
      <c r="J414" t="s">
        <v>203</v>
      </c>
      <c r="K414" s="3">
        <v>11551.5465643158</v>
      </c>
      <c r="L414" s="4">
        <v>0.187626039719081</v>
      </c>
      <c r="M414" s="4">
        <v>0.316507304099962</v>
      </c>
      <c r="N414" s="4">
        <v>0.436559074109985</v>
      </c>
      <c r="O414" s="4">
        <v>-0.120051770010023</v>
      </c>
      <c r="P414" s="4">
        <v>0.01890898</v>
      </c>
      <c r="Q414" t="s">
        <v>203</v>
      </c>
      <c r="R414" s="3">
        <v>11551.5465643158</v>
      </c>
      <c r="S414" s="4">
        <v>0.187626039719081</v>
      </c>
      <c r="T414" s="4">
        <v>0.316507304099962</v>
      </c>
      <c r="U414" s="4">
        <v>0.436559074109985</v>
      </c>
      <c r="V414" s="4">
        <v>-0.120051770010023</v>
      </c>
      <c r="W414" s="4">
        <v>0.01890898</v>
      </c>
    </row>
    <row r="415" spans="1:23" x14ac:dyDescent="0.25">
      <c r="A415">
        <v>79323</v>
      </c>
      <c r="B415" t="s">
        <v>45</v>
      </c>
      <c r="C415" t="s">
        <v>46</v>
      </c>
      <c r="D415">
        <v>8</v>
      </c>
      <c r="E415" s="1">
        <v>0.126722987994664</v>
      </c>
      <c r="F415" s="1">
        <v>0.147412101776099</v>
      </c>
      <c r="G415" s="1">
        <v>0.2</v>
      </c>
      <c r="H415" s="1">
        <v>1</v>
      </c>
      <c r="I415" s="1">
        <v>0.6</v>
      </c>
      <c r="J415" t="s">
        <v>203</v>
      </c>
      <c r="K415" s="3">
        <v>30466.1101689758</v>
      </c>
      <c r="L415" s="4">
        <v>0.134920231683772</v>
      </c>
      <c r="M415" s="4">
        <v>0.42216456005617</v>
      </c>
      <c r="N415" s="4">
        <v>0.436559074109985</v>
      </c>
      <c r="O415" s="4">
        <v>-0.0143945140538153</v>
      </c>
      <c r="P415" s="4">
        <v>0.01890898</v>
      </c>
      <c r="Q415" t="s">
        <v>203</v>
      </c>
      <c r="R415" s="3">
        <v>30466.1101689758</v>
      </c>
      <c r="S415" s="4">
        <v>0.134920231683772</v>
      </c>
      <c r="T415" s="4">
        <v>0.42216456005617</v>
      </c>
      <c r="U415" s="4">
        <v>0.436559074109985</v>
      </c>
      <c r="V415" s="4">
        <v>-0.0143945140538153</v>
      </c>
      <c r="W415" s="4">
        <v>0.01890898</v>
      </c>
    </row>
    <row r="416" spans="1:23" x14ac:dyDescent="0.25">
      <c r="A416">
        <v>89841</v>
      </c>
      <c r="B416" t="s">
        <v>126</v>
      </c>
      <c r="C416" t="s">
        <v>127</v>
      </c>
      <c r="D416">
        <v>8</v>
      </c>
      <c r="E416" s="1">
        <v>0.144511858797573</v>
      </c>
      <c r="F416" s="1">
        <v>0.214720776442099</v>
      </c>
      <c r="G416" s="1">
        <v>0.2</v>
      </c>
      <c r="H416" s="1">
        <v>1</v>
      </c>
      <c r="I416" s="1">
        <v>0.6</v>
      </c>
      <c r="J416" t="s">
        <v>203</v>
      </c>
      <c r="K416" s="3">
        <v>2236.11664617157</v>
      </c>
      <c r="L416" s="4">
        <v>-0.069015880375565</v>
      </c>
      <c r="M416" s="4">
        <v>0.898566471943191</v>
      </c>
      <c r="N416" s="4">
        <v>0.436559074109985</v>
      </c>
      <c r="O416" s="4">
        <v>0.462007397833206</v>
      </c>
      <c r="P416" s="4">
        <v>0.01890898</v>
      </c>
      <c r="Q416" t="s">
        <v>203</v>
      </c>
      <c r="R416" s="3">
        <v>2236.11664617157</v>
      </c>
      <c r="S416" s="4">
        <v>-0.069015880375565</v>
      </c>
      <c r="T416" s="4">
        <v>0.898566471943191</v>
      </c>
      <c r="U416" s="4">
        <v>0.436559074109985</v>
      </c>
      <c r="V416" s="4">
        <v>0.462007397833206</v>
      </c>
      <c r="W416" s="4">
        <v>0.01890898</v>
      </c>
    </row>
    <row r="417" spans="1:23" x14ac:dyDescent="0.25">
      <c r="A417">
        <v>91498</v>
      </c>
      <c r="B417" t="s">
        <v>197</v>
      </c>
      <c r="C417" t="s">
        <v>198</v>
      </c>
      <c r="D417">
        <v>8</v>
      </c>
      <c r="E417" s="1">
        <v>0.0301831806827644</v>
      </c>
      <c r="F417" s="1">
        <v>-0.12163667935122</v>
      </c>
      <c r="G417" s="1">
        <v>1</v>
      </c>
      <c r="H417" s="1">
        <v>0.2</v>
      </c>
      <c r="I417" s="1">
        <v>0.6</v>
      </c>
      <c r="J417" t="s">
        <v>203</v>
      </c>
      <c r="K417" s="3">
        <v>2529.67994499207</v>
      </c>
      <c r="L417" s="4">
        <v>1.01356828894767</v>
      </c>
      <c r="M417" s="4">
        <v>-0.499693294898033</v>
      </c>
      <c r="N417" s="4">
        <v>0.436559074109985</v>
      </c>
      <c r="O417" s="4">
        <v>-0.936252369008018</v>
      </c>
      <c r="P417" s="4">
        <v>0.01890898</v>
      </c>
      <c r="Q417" t="s">
        <v>203</v>
      </c>
      <c r="R417" s="3">
        <v>2529.67994499207</v>
      </c>
      <c r="S417" s="4">
        <v>1.01356828894767</v>
      </c>
      <c r="T417" s="4">
        <v>-0.499693294898033</v>
      </c>
      <c r="U417" s="4">
        <v>0.436559074109985</v>
      </c>
      <c r="V417" s="4">
        <v>-0.936252369008018</v>
      </c>
      <c r="W417" s="4">
        <v>0.01890898</v>
      </c>
    </row>
    <row r="418" spans="1:23" x14ac:dyDescent="0.25">
      <c r="A418">
        <v>10901</v>
      </c>
      <c r="B418" t="s">
        <v>186</v>
      </c>
      <c r="C418" t="s">
        <v>187</v>
      </c>
      <c r="D418">
        <v>8</v>
      </c>
      <c r="E418" s="1">
        <v>0.10464824120603</v>
      </c>
      <c r="F418" s="1">
        <v>0.00388317009507952</v>
      </c>
      <c r="G418" s="1">
        <v>0.4</v>
      </c>
      <c r="H418" s="1">
        <v>0.6</v>
      </c>
      <c r="I418" s="1">
        <v>0.5</v>
      </c>
      <c r="J418" t="s">
        <v>203</v>
      </c>
      <c r="K418" s="3">
        <v>229.537439422607</v>
      </c>
      <c r="L418" s="4">
        <v>0.174345157718916</v>
      </c>
      <c r="M418" s="4">
        <v>0.553076653076655</v>
      </c>
      <c r="N418" s="4">
        <v>0.436559074109985</v>
      </c>
      <c r="O418" s="4">
        <v>0.11651757896667</v>
      </c>
      <c r="P418" s="4">
        <v>0.01890898</v>
      </c>
      <c r="Q418" t="s">
        <v>203</v>
      </c>
      <c r="R418" s="3">
        <v>229.537439422607</v>
      </c>
      <c r="S418" s="4">
        <v>0.174345157718916</v>
      </c>
      <c r="T418" s="4">
        <v>0.553076653076655</v>
      </c>
      <c r="U418" s="4">
        <v>0.436559074109985</v>
      </c>
      <c r="V418" s="4">
        <v>0.11651757896667</v>
      </c>
      <c r="W418" s="4">
        <v>0.01890898</v>
      </c>
    </row>
    <row r="419" spans="1:23" x14ac:dyDescent="0.25">
      <c r="A419">
        <v>14625</v>
      </c>
      <c r="B419" t="s">
        <v>163</v>
      </c>
      <c r="C419" t="s">
        <v>164</v>
      </c>
      <c r="D419">
        <v>8</v>
      </c>
      <c r="E419" s="1">
        <v>0.0739622641509434</v>
      </c>
      <c r="F419" s="1">
        <v>-0.0643198452922088</v>
      </c>
      <c r="G419" s="1">
        <v>0.6</v>
      </c>
      <c r="H419" s="1">
        <v>0.4</v>
      </c>
      <c r="I419" s="1">
        <v>0.5</v>
      </c>
      <c r="J419" t="s">
        <v>203</v>
      </c>
      <c r="K419" s="3">
        <v>369.29508430481</v>
      </c>
      <c r="L419" s="4">
        <v>0.0699533309314543</v>
      </c>
      <c r="M419" s="4">
        <v>-0.32109188309614</v>
      </c>
      <c r="N419" s="4">
        <v>0.436559074109985</v>
      </c>
      <c r="O419" s="4">
        <v>-0.757650957206125</v>
      </c>
      <c r="P419" s="4">
        <v>0.01890898</v>
      </c>
      <c r="Q419" t="s">
        <v>203</v>
      </c>
      <c r="R419" s="3">
        <v>369.29508430481</v>
      </c>
      <c r="S419" s="4">
        <v>0.0699533309314543</v>
      </c>
      <c r="T419" s="4">
        <v>-0.32109188309614</v>
      </c>
      <c r="U419" s="4">
        <v>0.436559074109985</v>
      </c>
      <c r="V419" s="4">
        <v>-0.757650957206125</v>
      </c>
      <c r="W419" s="4">
        <v>0.01890898</v>
      </c>
    </row>
    <row r="420" spans="1:23" x14ac:dyDescent="0.25">
      <c r="A420">
        <v>26710</v>
      </c>
      <c r="B420" t="s">
        <v>61</v>
      </c>
      <c r="C420" t="s">
        <v>62</v>
      </c>
      <c r="D420">
        <v>8</v>
      </c>
      <c r="E420" s="1">
        <v>0.0586778433987426</v>
      </c>
      <c r="F420" s="1">
        <v>-0.118326152530102</v>
      </c>
      <c r="G420" s="1">
        <v>0.8</v>
      </c>
      <c r="H420" s="1">
        <v>0.2</v>
      </c>
      <c r="I420" s="1">
        <v>0.5</v>
      </c>
      <c r="J420" t="s">
        <v>203</v>
      </c>
      <c r="K420" s="3">
        <v>9650.23495765686</v>
      </c>
      <c r="L420" s="4">
        <v>0.046781543719738</v>
      </c>
      <c r="M420" s="4">
        <v>0.76619466386429</v>
      </c>
      <c r="N420" s="4">
        <v>0.436559074109985</v>
      </c>
      <c r="O420" s="4">
        <v>0.329635589754305</v>
      </c>
      <c r="P420" s="4">
        <v>0.01890898</v>
      </c>
      <c r="Q420" t="s">
        <v>203</v>
      </c>
      <c r="R420" s="3">
        <v>9650.23495765686</v>
      </c>
      <c r="S420" s="4">
        <v>0.046781543719738</v>
      </c>
      <c r="T420" s="4">
        <v>0.76619466386429</v>
      </c>
      <c r="U420" s="4">
        <v>0.436559074109985</v>
      </c>
      <c r="V420" s="4">
        <v>0.329635589754305</v>
      </c>
      <c r="W420" s="4">
        <v>0.01890898</v>
      </c>
    </row>
    <row r="421" spans="1:23" x14ac:dyDescent="0.25">
      <c r="A421">
        <v>66800</v>
      </c>
      <c r="B421" t="s">
        <v>87</v>
      </c>
      <c r="C421" t="s">
        <v>88</v>
      </c>
      <c r="D421">
        <v>8</v>
      </c>
      <c r="E421" s="1">
        <v>0.0728618741476719</v>
      </c>
      <c r="F421" s="1">
        <v>-0.0727062796455011</v>
      </c>
      <c r="G421" s="1">
        <v>0.6</v>
      </c>
      <c r="H421" s="1">
        <v>0.4</v>
      </c>
      <c r="I421" s="1">
        <v>0.5</v>
      </c>
      <c r="J421" t="s">
        <v>203</v>
      </c>
      <c r="K421" s="3">
        <v>26855.0536428452</v>
      </c>
      <c r="L421" s="4">
        <v>0.0367956265769554</v>
      </c>
      <c r="M421" s="4">
        <v>0.824230313571602</v>
      </c>
      <c r="N421" s="4">
        <v>0.436559074109985</v>
      </c>
      <c r="O421" s="4">
        <v>0.387671239461617</v>
      </c>
      <c r="P421" s="4">
        <v>0.01890898</v>
      </c>
      <c r="Q421" t="s">
        <v>203</v>
      </c>
      <c r="R421" s="3">
        <v>26855.0536428452</v>
      </c>
      <c r="S421" s="4">
        <v>0.0367956265769554</v>
      </c>
      <c r="T421" s="4">
        <v>0.824230313571602</v>
      </c>
      <c r="U421" s="4">
        <v>0.436559074109985</v>
      </c>
      <c r="V421" s="4">
        <v>0.387671239461617</v>
      </c>
      <c r="W421" s="4">
        <v>0.01890898</v>
      </c>
    </row>
    <row r="422" spans="1:23" x14ac:dyDescent="0.25">
      <c r="A422">
        <v>71271</v>
      </c>
      <c r="B422" t="s">
        <v>93</v>
      </c>
      <c r="C422" t="s">
        <v>94</v>
      </c>
      <c r="D422">
        <v>8</v>
      </c>
      <c r="E422" s="1">
        <v>0.0743399577272784</v>
      </c>
      <c r="F422" s="1">
        <v>-0.0536117678118438</v>
      </c>
      <c r="G422" s="1">
        <v>0.6</v>
      </c>
      <c r="H422" s="1">
        <v>0.4</v>
      </c>
      <c r="I422" s="1">
        <v>0.5</v>
      </c>
      <c r="J422" t="s">
        <v>203</v>
      </c>
      <c r="K422" s="3">
        <v>6999.59360961914</v>
      </c>
      <c r="L422" s="4">
        <v>0.313125558306879</v>
      </c>
      <c r="M422" s="4">
        <v>0.396550456646862</v>
      </c>
      <c r="N422" s="4">
        <v>0.436559074109985</v>
      </c>
      <c r="O422" s="4">
        <v>-0.0400086174631231</v>
      </c>
      <c r="P422" s="4">
        <v>0.01890898</v>
      </c>
      <c r="Q422" t="s">
        <v>203</v>
      </c>
      <c r="R422" s="3">
        <v>6999.59360961914</v>
      </c>
      <c r="S422" s="4">
        <v>0.313125558306879</v>
      </c>
      <c r="T422" s="4">
        <v>0.396550456646862</v>
      </c>
      <c r="U422" s="4">
        <v>0.436559074109985</v>
      </c>
      <c r="V422" s="4">
        <v>-0.0400086174631231</v>
      </c>
      <c r="W422" s="4">
        <v>0.01890898</v>
      </c>
    </row>
    <row r="423" spans="1:23" x14ac:dyDescent="0.25">
      <c r="A423">
        <v>89575</v>
      </c>
      <c r="B423" t="s">
        <v>167</v>
      </c>
      <c r="C423" t="s">
        <v>168</v>
      </c>
      <c r="D423">
        <v>8</v>
      </c>
      <c r="E423" s="1">
        <v>0.0704636334161893</v>
      </c>
      <c r="F423" s="1">
        <v>-0.0436722038236721</v>
      </c>
      <c r="G423" s="1">
        <v>0.6</v>
      </c>
      <c r="H423" s="1">
        <v>0.4</v>
      </c>
      <c r="I423" s="1">
        <v>0.5</v>
      </c>
      <c r="J423" t="s">
        <v>203</v>
      </c>
      <c r="K423" s="3">
        <v>1154.80521234894</v>
      </c>
      <c r="L423" s="4">
        <v>0.055364558184452</v>
      </c>
      <c r="M423" s="4">
        <v>0.168954736420184</v>
      </c>
      <c r="N423" s="4">
        <v>0.436559074109985</v>
      </c>
      <c r="O423" s="4">
        <v>-0.267604337689801</v>
      </c>
      <c r="P423" s="4">
        <v>0.01890898</v>
      </c>
      <c r="Q423" t="s">
        <v>203</v>
      </c>
      <c r="R423" s="3">
        <v>1154.80521234894</v>
      </c>
      <c r="S423" s="4">
        <v>0.055364558184452</v>
      </c>
      <c r="T423" s="4">
        <v>0.168954736420184</v>
      </c>
      <c r="U423" s="4">
        <v>0.436559074109985</v>
      </c>
      <c r="V423" s="4">
        <v>-0.267604337689801</v>
      </c>
      <c r="W423" s="4">
        <v>0.01890898</v>
      </c>
    </row>
    <row r="424" spans="1:23" x14ac:dyDescent="0.25">
      <c r="A424">
        <v>92111</v>
      </c>
      <c r="B424" t="s">
        <v>184</v>
      </c>
      <c r="C424" t="s">
        <v>185</v>
      </c>
      <c r="D424">
        <v>8</v>
      </c>
      <c r="E424" s="1">
        <v>0.0638820638820639</v>
      </c>
      <c r="F424" s="1">
        <v>-0.189660874533769</v>
      </c>
      <c r="G424" s="1">
        <v>0.8</v>
      </c>
      <c r="H424" s="1">
        <v>0.2</v>
      </c>
      <c r="I424" s="1">
        <v>0.5</v>
      </c>
      <c r="J424" t="s">
        <v>203</v>
      </c>
      <c r="K424" s="3">
        <v>217.210193576813</v>
      </c>
      <c r="L424" s="4">
        <v>0.222592222119247</v>
      </c>
      <c r="M424" s="4">
        <v>0.806763666276621</v>
      </c>
      <c r="N424" s="4">
        <v>0.436559074109985</v>
      </c>
      <c r="O424" s="4">
        <v>0.370204592166636</v>
      </c>
      <c r="P424" s="4">
        <v>0.01890898</v>
      </c>
      <c r="Q424" t="s">
        <v>203</v>
      </c>
      <c r="R424" s="3">
        <v>217.210193576813</v>
      </c>
      <c r="S424" s="4">
        <v>0.222592222119247</v>
      </c>
      <c r="T424" s="4">
        <v>0.806763666276621</v>
      </c>
      <c r="U424" s="4">
        <v>0.436559074109985</v>
      </c>
      <c r="V424" s="4">
        <v>0.370204592166636</v>
      </c>
      <c r="W424" s="4">
        <v>0.01890898</v>
      </c>
    </row>
    <row r="425" spans="1:23" x14ac:dyDescent="0.25">
      <c r="A425">
        <v>92780</v>
      </c>
      <c r="B425" t="s">
        <v>173</v>
      </c>
      <c r="C425" t="s">
        <v>174</v>
      </c>
      <c r="D425">
        <v>8</v>
      </c>
      <c r="E425" s="1">
        <v>0.0727272727272727</v>
      </c>
      <c r="F425" s="1">
        <v>-0.0437339078083172</v>
      </c>
      <c r="G425" s="1">
        <v>0.6</v>
      </c>
      <c r="H425" s="1">
        <v>0.4</v>
      </c>
      <c r="I425" s="1">
        <v>0.5</v>
      </c>
      <c r="J425" t="s">
        <v>203</v>
      </c>
      <c r="K425" s="3">
        <v>363.75986240387</v>
      </c>
      <c r="L425" s="4">
        <v>0.0654269546871</v>
      </c>
      <c r="M425" s="4">
        <v>0.844935197243388</v>
      </c>
      <c r="N425" s="4">
        <v>0.436559074109985</v>
      </c>
      <c r="O425" s="4">
        <v>0.408376123133403</v>
      </c>
      <c r="P425" s="4">
        <v>0.01890898</v>
      </c>
      <c r="Q425" t="s">
        <v>203</v>
      </c>
      <c r="R425" s="3">
        <v>363.75986240387</v>
      </c>
      <c r="S425" s="4">
        <v>0.0654269546871</v>
      </c>
      <c r="T425" s="4">
        <v>0.844935197243388</v>
      </c>
      <c r="U425" s="4">
        <v>0.436559074109985</v>
      </c>
      <c r="V425" s="4">
        <v>0.408376123133403</v>
      </c>
      <c r="W425" s="4">
        <v>0.01890898</v>
      </c>
    </row>
    <row r="426" spans="1:23" x14ac:dyDescent="0.25">
      <c r="A426">
        <v>93374</v>
      </c>
      <c r="B426" t="s">
        <v>134</v>
      </c>
      <c r="C426" t="s">
        <v>135</v>
      </c>
      <c r="D426">
        <v>8</v>
      </c>
      <c r="E426" s="1">
        <v>0.107338820301783</v>
      </c>
      <c r="F426" s="1">
        <v>-0.0100504278664038</v>
      </c>
      <c r="G426" s="1">
        <v>0.4</v>
      </c>
      <c r="H426" s="1">
        <v>0.6</v>
      </c>
      <c r="I426" s="1">
        <v>0.5</v>
      </c>
      <c r="J426" t="s">
        <v>203</v>
      </c>
      <c r="K426" s="3">
        <v>5350.43647100449</v>
      </c>
      <c r="L426" s="4">
        <v>0.0790405503655533</v>
      </c>
      <c r="M426" s="4">
        <v>0.318670182102053</v>
      </c>
      <c r="N426" s="4">
        <v>0.436559074109985</v>
      </c>
      <c r="O426" s="4">
        <v>-0.117888892007932</v>
      </c>
      <c r="P426" s="4">
        <v>0.01890898</v>
      </c>
      <c r="Q426" t="s">
        <v>203</v>
      </c>
      <c r="R426" s="3">
        <v>5350.43647100449</v>
      </c>
      <c r="S426" s="4">
        <v>0.0790405503655533</v>
      </c>
      <c r="T426" s="4">
        <v>0.318670182102053</v>
      </c>
      <c r="U426" s="4">
        <v>0.436559074109985</v>
      </c>
      <c r="V426" s="4">
        <v>-0.117888892007932</v>
      </c>
      <c r="W426" s="4">
        <v>0.01890898</v>
      </c>
    </row>
    <row r="427" spans="1:23" x14ac:dyDescent="0.25">
      <c r="A427">
        <v>23473</v>
      </c>
      <c r="B427" t="s">
        <v>23</v>
      </c>
      <c r="C427" t="s">
        <v>24</v>
      </c>
      <c r="D427">
        <v>8</v>
      </c>
      <c r="E427" s="1">
        <v>0.116405135520685</v>
      </c>
      <c r="F427" s="1">
        <v>0.00489299683058753</v>
      </c>
      <c r="G427" s="1">
        <v>0.2</v>
      </c>
      <c r="H427" s="1">
        <v>0.6</v>
      </c>
      <c r="I427" s="1">
        <v>0.4</v>
      </c>
      <c r="J427" t="s">
        <v>203</v>
      </c>
      <c r="K427" s="3">
        <v>10296.0238037109</v>
      </c>
      <c r="L427" s="4">
        <v>0.465507675235805</v>
      </c>
      <c r="M427" s="4">
        <v>1.12735781920809</v>
      </c>
      <c r="N427" s="4">
        <v>0.436559074109985</v>
      </c>
      <c r="O427" s="4">
        <v>0.690798745098101</v>
      </c>
      <c r="P427" s="4">
        <v>0.01890898</v>
      </c>
      <c r="Q427" t="s">
        <v>203</v>
      </c>
      <c r="R427" s="3">
        <v>10296.0238037109</v>
      </c>
      <c r="S427" s="4">
        <v>0.465507675235805</v>
      </c>
      <c r="T427" s="4">
        <v>1.12735781920809</v>
      </c>
      <c r="U427" s="4">
        <v>0.436559074109985</v>
      </c>
      <c r="V427" s="4">
        <v>0.690798745098101</v>
      </c>
      <c r="W427" s="4">
        <v>0.01890898</v>
      </c>
    </row>
    <row r="428" spans="1:23" x14ac:dyDescent="0.25">
      <c r="A428">
        <v>47626</v>
      </c>
      <c r="B428" t="s">
        <v>77</v>
      </c>
      <c r="C428" t="s">
        <v>78</v>
      </c>
      <c r="D428">
        <v>8</v>
      </c>
      <c r="E428" s="1">
        <v>0.0821245257754965</v>
      </c>
      <c r="F428" s="1">
        <v>-0.29718227650797</v>
      </c>
      <c r="G428" s="1">
        <v>0.6</v>
      </c>
      <c r="H428" s="1">
        <v>0.2</v>
      </c>
      <c r="I428" s="1">
        <v>0.4</v>
      </c>
      <c r="J428" t="s">
        <v>203</v>
      </c>
      <c r="K428" s="3">
        <v>8724.73881408691</v>
      </c>
      <c r="L428" s="4">
        <v>0.0430541871921182</v>
      </c>
      <c r="M428" s="4">
        <v>0.673025289204672</v>
      </c>
      <c r="N428" s="4">
        <v>0.436559074109985</v>
      </c>
      <c r="O428" s="4">
        <v>0.236466215094686</v>
      </c>
      <c r="P428" s="4">
        <v>0.01890898</v>
      </c>
      <c r="Q428" t="s">
        <v>203</v>
      </c>
      <c r="R428" s="3">
        <v>8724.73881408691</v>
      </c>
      <c r="S428" s="4">
        <v>0.0430541871921182</v>
      </c>
      <c r="T428" s="4">
        <v>0.673025289204672</v>
      </c>
      <c r="U428" s="4">
        <v>0.436559074109985</v>
      </c>
      <c r="V428" s="4">
        <v>0.236466215094686</v>
      </c>
      <c r="W428" s="4">
        <v>0.01890898</v>
      </c>
    </row>
    <row r="429" spans="1:23" x14ac:dyDescent="0.25">
      <c r="A429">
        <v>49015</v>
      </c>
      <c r="B429" t="s">
        <v>81</v>
      </c>
      <c r="C429" t="s">
        <v>82</v>
      </c>
      <c r="D429">
        <v>8</v>
      </c>
      <c r="E429" s="1">
        <v>0.0747330960854093</v>
      </c>
      <c r="F429" s="1">
        <v>-0.0908437408651345</v>
      </c>
      <c r="G429" s="1">
        <v>0.6</v>
      </c>
      <c r="H429" s="1">
        <v>0.2</v>
      </c>
      <c r="I429" s="1">
        <v>0.4</v>
      </c>
      <c r="J429" t="s">
        <v>203</v>
      </c>
      <c r="K429" s="3">
        <v>7108.71113690186</v>
      </c>
      <c r="L429" s="4">
        <v>0.0638192815701765</v>
      </c>
      <c r="M429" s="4">
        <v>0.910707410446569</v>
      </c>
      <c r="N429" s="4">
        <v>0.436559074109985</v>
      </c>
      <c r="O429" s="4">
        <v>0.474148336336583</v>
      </c>
      <c r="P429" s="4">
        <v>0.01890898</v>
      </c>
      <c r="Q429" t="s">
        <v>203</v>
      </c>
      <c r="R429" s="3">
        <v>7108.71113690186</v>
      </c>
      <c r="S429" s="4">
        <v>0.0638192815701765</v>
      </c>
      <c r="T429" s="4">
        <v>0.910707410446569</v>
      </c>
      <c r="U429" s="4">
        <v>0.436559074109985</v>
      </c>
      <c r="V429" s="4">
        <v>0.474148336336583</v>
      </c>
      <c r="W429" s="4">
        <v>0.01890898</v>
      </c>
    </row>
    <row r="430" spans="1:23" x14ac:dyDescent="0.25">
      <c r="A430">
        <v>52936</v>
      </c>
      <c r="B430" t="s">
        <v>29</v>
      </c>
      <c r="C430" t="s">
        <v>30</v>
      </c>
      <c r="D430">
        <v>8</v>
      </c>
      <c r="E430" s="1">
        <v>0.118612764210958</v>
      </c>
      <c r="F430" s="1">
        <v>-0.0132472197071638</v>
      </c>
      <c r="G430" s="1">
        <v>0.2</v>
      </c>
      <c r="H430" s="1">
        <v>0.6</v>
      </c>
      <c r="I430" s="1">
        <v>0.4</v>
      </c>
      <c r="J430" t="s">
        <v>203</v>
      </c>
      <c r="K430" s="3">
        <v>2255.8385</v>
      </c>
      <c r="L430" s="4">
        <v>0.174756909297261</v>
      </c>
      <c r="M430" s="4">
        <v>0.666699320601127</v>
      </c>
      <c r="N430" s="4">
        <v>0.436559074109985</v>
      </c>
      <c r="O430" s="4">
        <v>0.230140246491141</v>
      </c>
      <c r="P430" s="4">
        <v>0.01890898</v>
      </c>
      <c r="Q430" t="s">
        <v>203</v>
      </c>
      <c r="R430" s="3">
        <v>2255.8385</v>
      </c>
      <c r="S430" s="4">
        <v>0.174756909297261</v>
      </c>
      <c r="T430" s="4">
        <v>0.666699320601127</v>
      </c>
      <c r="U430" s="4">
        <v>0.436559074109985</v>
      </c>
      <c r="V430" s="4">
        <v>0.230140246491141</v>
      </c>
      <c r="W430" s="4">
        <v>0.01890898</v>
      </c>
    </row>
    <row r="431" spans="1:23" x14ac:dyDescent="0.25">
      <c r="A431">
        <v>57904</v>
      </c>
      <c r="B431" t="s">
        <v>41</v>
      </c>
      <c r="C431" t="s">
        <v>42</v>
      </c>
      <c r="D431">
        <v>8</v>
      </c>
      <c r="E431" s="1">
        <v>0.0841209829867675</v>
      </c>
      <c r="F431" s="1">
        <v>-0.0279106675248217</v>
      </c>
      <c r="G431" s="1">
        <v>0.4</v>
      </c>
      <c r="H431" s="1">
        <v>0.4</v>
      </c>
      <c r="I431" s="1">
        <v>0.4</v>
      </c>
      <c r="J431" t="s">
        <v>203</v>
      </c>
      <c r="K431" s="3">
        <v>25851.8123641357</v>
      </c>
      <c r="L431" s="4">
        <v>0.0276093348033811</v>
      </c>
      <c r="M431" s="4">
        <v>0.596217949724651</v>
      </c>
      <c r="N431" s="4">
        <v>0.436559074109985</v>
      </c>
      <c r="O431" s="4">
        <v>0.159658875614665</v>
      </c>
      <c r="P431" s="4">
        <v>0.01890898</v>
      </c>
      <c r="Q431" t="s">
        <v>203</v>
      </c>
      <c r="R431" s="3">
        <v>25851.8123641357</v>
      </c>
      <c r="S431" s="4">
        <v>0.0276093348033811</v>
      </c>
      <c r="T431" s="4">
        <v>0.596217949724651</v>
      </c>
      <c r="U431" s="4">
        <v>0.436559074109985</v>
      </c>
      <c r="V431" s="4">
        <v>0.159658875614665</v>
      </c>
      <c r="W431" s="4">
        <v>0.01890898</v>
      </c>
    </row>
    <row r="432" spans="1:23" x14ac:dyDescent="0.25">
      <c r="A432">
        <v>64390</v>
      </c>
      <c r="B432" t="s">
        <v>16</v>
      </c>
      <c r="C432" t="s">
        <v>17</v>
      </c>
      <c r="D432">
        <v>8</v>
      </c>
      <c r="E432" s="1">
        <v>0.0932449233319519</v>
      </c>
      <c r="F432" s="1">
        <v>-0.0635282357587595</v>
      </c>
      <c r="G432" s="1">
        <v>0.4</v>
      </c>
      <c r="H432" s="1">
        <v>0.4</v>
      </c>
      <c r="I432" s="1">
        <v>0.4</v>
      </c>
      <c r="J432" t="s">
        <v>203</v>
      </c>
      <c r="K432" s="3">
        <v>46888.2231372375</v>
      </c>
      <c r="L432" s="4">
        <v>0.220405761906699</v>
      </c>
      <c r="M432" s="4">
        <v>0.347066861158743</v>
      </c>
      <c r="N432" s="4">
        <v>0.436559074109985</v>
      </c>
      <c r="O432" s="4">
        <v>-0.0894922129512423</v>
      </c>
      <c r="P432" s="4">
        <v>0.01890898</v>
      </c>
      <c r="Q432" t="s">
        <v>203</v>
      </c>
      <c r="R432" s="3">
        <v>46888.2231372375</v>
      </c>
      <c r="S432" s="4">
        <v>0.220405761906699</v>
      </c>
      <c r="T432" s="4">
        <v>0.347066861158743</v>
      </c>
      <c r="U432" s="4">
        <v>0.436559074109985</v>
      </c>
      <c r="V432" s="4">
        <v>-0.0894922129512423</v>
      </c>
      <c r="W432" s="4">
        <v>0.01890898</v>
      </c>
    </row>
    <row r="433" spans="1:23" x14ac:dyDescent="0.25">
      <c r="A433">
        <v>71175</v>
      </c>
      <c r="B433" t="s">
        <v>65</v>
      </c>
      <c r="C433" t="s">
        <v>66</v>
      </c>
      <c r="D433">
        <v>8</v>
      </c>
      <c r="E433" s="1">
        <v>0.180041152263374</v>
      </c>
      <c r="F433" s="1">
        <v>0.00574674727867852</v>
      </c>
      <c r="G433" s="1">
        <v>0.2</v>
      </c>
      <c r="H433" s="1">
        <v>0.6</v>
      </c>
      <c r="I433" s="1">
        <v>0.4</v>
      </c>
      <c r="J433" t="s">
        <v>203</v>
      </c>
      <c r="K433" s="3">
        <v>3374.73783103943</v>
      </c>
      <c r="L433" s="4">
        <v>0.0345196220428995</v>
      </c>
      <c r="M433" s="4">
        <v>1.15903590571367</v>
      </c>
      <c r="N433" s="4">
        <v>0.436559074109985</v>
      </c>
      <c r="O433" s="4">
        <v>0.722476831603686</v>
      </c>
      <c r="P433" s="4">
        <v>0.01890898</v>
      </c>
      <c r="Q433" t="s">
        <v>203</v>
      </c>
      <c r="R433" s="3">
        <v>3374.73783103943</v>
      </c>
      <c r="S433" s="4">
        <v>0.0345196220428995</v>
      </c>
      <c r="T433" s="4">
        <v>1.15903590571367</v>
      </c>
      <c r="U433" s="4">
        <v>0.436559074109985</v>
      </c>
      <c r="V433" s="4">
        <v>0.722476831603686</v>
      </c>
      <c r="W433" s="4">
        <v>0.01890898</v>
      </c>
    </row>
    <row r="434" spans="1:23" x14ac:dyDescent="0.25">
      <c r="A434">
        <v>76804</v>
      </c>
      <c r="B434" t="s">
        <v>107</v>
      </c>
      <c r="C434" t="s">
        <v>108</v>
      </c>
      <c r="D434">
        <v>8</v>
      </c>
      <c r="E434" s="1">
        <v>0.134791813690896</v>
      </c>
      <c r="F434" s="1">
        <v>-0.0239109262409134</v>
      </c>
      <c r="G434" s="1">
        <v>0.2</v>
      </c>
      <c r="H434" s="1">
        <v>0.6</v>
      </c>
      <c r="I434" s="1">
        <v>0.4</v>
      </c>
      <c r="J434" t="s">
        <v>203</v>
      </c>
      <c r="K434" s="3">
        <v>2772.86358793163</v>
      </c>
      <c r="L434" s="4">
        <v>0.0801967881777608</v>
      </c>
      <c r="M434" s="4">
        <v>0.830084192711213</v>
      </c>
      <c r="N434" s="4">
        <v>0.436559074109985</v>
      </c>
      <c r="O434" s="4">
        <v>0.393525118601228</v>
      </c>
      <c r="P434" s="4">
        <v>0.01890898</v>
      </c>
      <c r="Q434" t="s">
        <v>203</v>
      </c>
      <c r="R434" s="3">
        <v>2772.86358793163</v>
      </c>
      <c r="S434" s="4">
        <v>0.0801967881777608</v>
      </c>
      <c r="T434" s="4">
        <v>0.830084192711213</v>
      </c>
      <c r="U434" s="4">
        <v>0.436559074109985</v>
      </c>
      <c r="V434" s="4">
        <v>0.393525118601228</v>
      </c>
      <c r="W434" s="4">
        <v>0.01890898</v>
      </c>
    </row>
    <row r="435" spans="1:23" x14ac:dyDescent="0.25">
      <c r="A435">
        <v>78038</v>
      </c>
      <c r="B435" t="s">
        <v>109</v>
      </c>
      <c r="C435" t="s">
        <v>110</v>
      </c>
      <c r="D435">
        <v>8</v>
      </c>
      <c r="E435" s="1">
        <v>0.127980922098569</v>
      </c>
      <c r="F435" s="1">
        <v>0.0276186403956892</v>
      </c>
      <c r="G435" s="1">
        <v>0.2</v>
      </c>
      <c r="H435" s="1">
        <v>0.6</v>
      </c>
      <c r="I435" s="1">
        <v>0.4</v>
      </c>
      <c r="J435" t="s">
        <v>203</v>
      </c>
      <c r="K435" s="3">
        <v>2952.90241357613</v>
      </c>
      <c r="L435" s="4">
        <v>0.199487669343271</v>
      </c>
      <c r="M435" s="4">
        <v>0.510265254704684</v>
      </c>
      <c r="N435" s="4">
        <v>0.436559074109985</v>
      </c>
      <c r="O435" s="4">
        <v>0.0737061805946986</v>
      </c>
      <c r="P435" s="4">
        <v>0.01890898</v>
      </c>
      <c r="Q435" t="s">
        <v>203</v>
      </c>
      <c r="R435" s="3">
        <v>2952.90241357613</v>
      </c>
      <c r="S435" s="4">
        <v>0.199487669343271</v>
      </c>
      <c r="T435" s="4">
        <v>0.510265254704684</v>
      </c>
      <c r="U435" s="4">
        <v>0.436559074109985</v>
      </c>
      <c r="V435" s="4">
        <v>0.0737061805946986</v>
      </c>
      <c r="W435" s="4">
        <v>0.01890898</v>
      </c>
    </row>
    <row r="436" spans="1:23" x14ac:dyDescent="0.25">
      <c r="A436">
        <v>79210</v>
      </c>
      <c r="B436" t="s">
        <v>95</v>
      </c>
      <c r="C436" t="s">
        <v>96</v>
      </c>
      <c r="D436">
        <v>8</v>
      </c>
      <c r="E436" s="1">
        <v>0.0851220409665154</v>
      </c>
      <c r="F436" s="1">
        <v>-0.0862591985642386</v>
      </c>
      <c r="G436" s="1">
        <v>0.4</v>
      </c>
      <c r="H436" s="1">
        <v>0.4</v>
      </c>
      <c r="I436" s="1">
        <v>0.4</v>
      </c>
      <c r="J436" t="s">
        <v>203</v>
      </c>
      <c r="K436" s="3">
        <v>4835.66927050781</v>
      </c>
      <c r="L436" s="4">
        <v>0.101380091931569</v>
      </c>
      <c r="M436" s="4">
        <v>0.423788083180524</v>
      </c>
      <c r="N436" s="4">
        <v>0.436559074109985</v>
      </c>
      <c r="O436" s="4">
        <v>-0.0127709909294618</v>
      </c>
      <c r="P436" s="4">
        <v>0.01890898</v>
      </c>
      <c r="Q436" t="s">
        <v>203</v>
      </c>
      <c r="R436" s="3">
        <v>4835.66927050781</v>
      </c>
      <c r="S436" s="4">
        <v>0.101380091931569</v>
      </c>
      <c r="T436" s="4">
        <v>0.423788083180524</v>
      </c>
      <c r="U436" s="4">
        <v>0.436559074109985</v>
      </c>
      <c r="V436" s="4">
        <v>-0.0127709909294618</v>
      </c>
      <c r="W436" s="4">
        <v>0.01890898</v>
      </c>
    </row>
    <row r="437" spans="1:23" x14ac:dyDescent="0.25">
      <c r="A437">
        <v>89258</v>
      </c>
      <c r="B437" t="s">
        <v>21</v>
      </c>
      <c r="C437" t="s">
        <v>22</v>
      </c>
      <c r="D437">
        <v>8</v>
      </c>
      <c r="E437" s="1">
        <v>0.109131640708342</v>
      </c>
      <c r="F437" s="1">
        <v>-0.0493204942369401</v>
      </c>
      <c r="G437" s="1">
        <v>0.4</v>
      </c>
      <c r="H437" s="1">
        <v>0.4</v>
      </c>
      <c r="I437" s="1">
        <v>0.4</v>
      </c>
      <c r="J437" t="s">
        <v>203</v>
      </c>
      <c r="K437" s="3">
        <v>24055.5006027222</v>
      </c>
      <c r="L437" s="4">
        <v>0.0293183910600337</v>
      </c>
      <c r="M437" s="4">
        <v>0.85287859458662</v>
      </c>
      <c r="N437" s="4">
        <v>0.436559074109985</v>
      </c>
      <c r="O437" s="4">
        <v>0.416319520476634</v>
      </c>
      <c r="P437" s="4">
        <v>0.01890898</v>
      </c>
      <c r="Q437" t="s">
        <v>203</v>
      </c>
      <c r="R437" s="3">
        <v>24055.5006027222</v>
      </c>
      <c r="S437" s="4">
        <v>0.0293183910600337</v>
      </c>
      <c r="T437" s="4">
        <v>0.85287859458662</v>
      </c>
      <c r="U437" s="4">
        <v>0.436559074109985</v>
      </c>
      <c r="V437" s="4">
        <v>0.416319520476634</v>
      </c>
      <c r="W437" s="4">
        <v>0.01890898</v>
      </c>
    </row>
    <row r="438" spans="1:23" x14ac:dyDescent="0.25">
      <c r="A438">
        <v>90925</v>
      </c>
      <c r="B438" t="s">
        <v>105</v>
      </c>
      <c r="C438" t="s">
        <v>106</v>
      </c>
      <c r="D438">
        <v>8</v>
      </c>
      <c r="E438" s="1">
        <v>0.0857772877618523</v>
      </c>
      <c r="F438" s="1">
        <v>-0.0481130928094018</v>
      </c>
      <c r="G438" s="1">
        <v>0.4</v>
      </c>
      <c r="H438" s="1">
        <v>0.4</v>
      </c>
      <c r="I438" s="1">
        <v>0.4</v>
      </c>
      <c r="J438" t="s">
        <v>203</v>
      </c>
      <c r="K438" s="3">
        <v>9167.76919437408</v>
      </c>
      <c r="L438" s="4">
        <v>0.117600527356625</v>
      </c>
      <c r="M438" s="4">
        <v>0.531888782766595</v>
      </c>
      <c r="N438" s="4">
        <v>0.436559074109985</v>
      </c>
      <c r="O438" s="4">
        <v>0.0953297086566094</v>
      </c>
      <c r="P438" s="4">
        <v>0.01890898</v>
      </c>
      <c r="Q438" t="s">
        <v>203</v>
      </c>
      <c r="R438" s="3">
        <v>9167.76919437408</v>
      </c>
      <c r="S438" s="4">
        <v>0.117600527356625</v>
      </c>
      <c r="T438" s="4">
        <v>0.531888782766595</v>
      </c>
      <c r="U438" s="4">
        <v>0.436559074109985</v>
      </c>
      <c r="V438" s="4">
        <v>0.0953297086566094</v>
      </c>
      <c r="W438" s="4">
        <v>0.01890898</v>
      </c>
    </row>
    <row r="439" spans="1:23" x14ac:dyDescent="0.25">
      <c r="A439">
        <v>92506</v>
      </c>
      <c r="B439" t="s">
        <v>157</v>
      </c>
      <c r="C439" t="s">
        <v>158</v>
      </c>
      <c r="D439">
        <v>8</v>
      </c>
      <c r="E439" s="1">
        <v>0.215251487290427</v>
      </c>
      <c r="F439" s="1">
        <v>0.00464603928387042</v>
      </c>
      <c r="G439" s="1">
        <v>0.2</v>
      </c>
      <c r="H439" s="1">
        <v>0.6</v>
      </c>
      <c r="I439" s="1">
        <v>0.4</v>
      </c>
      <c r="J439" t="s">
        <v>203</v>
      </c>
      <c r="K439" s="3">
        <v>452.790130897522</v>
      </c>
      <c r="L439" s="4">
        <v>0.126675409262635</v>
      </c>
      <c r="M439" s="4">
        <v>0.271356772794946</v>
      </c>
      <c r="N439" s="4">
        <v>0.436559074109985</v>
      </c>
      <c r="O439" s="4">
        <v>-0.165202301315039</v>
      </c>
      <c r="P439" s="4">
        <v>0.01890898</v>
      </c>
      <c r="Q439" t="s">
        <v>203</v>
      </c>
      <c r="R439" s="3">
        <v>452.790130897522</v>
      </c>
      <c r="S439" s="4">
        <v>0.126675409262635</v>
      </c>
      <c r="T439" s="4">
        <v>0.271356772794946</v>
      </c>
      <c r="U439" s="4">
        <v>0.436559074109985</v>
      </c>
      <c r="V439" s="4">
        <v>-0.165202301315039</v>
      </c>
      <c r="W439" s="4">
        <v>0.01890898</v>
      </c>
    </row>
    <row r="440" spans="1:23" x14ac:dyDescent="0.25">
      <c r="A440">
        <v>60687</v>
      </c>
      <c r="B440" t="s">
        <v>83</v>
      </c>
      <c r="C440" t="s">
        <v>84</v>
      </c>
      <c r="D440">
        <v>8</v>
      </c>
      <c r="E440" s="1">
        <v>0.0910168718650251</v>
      </c>
      <c r="F440" s="1">
        <v>-0.159347318070787</v>
      </c>
      <c r="G440" s="1">
        <v>0.4</v>
      </c>
      <c r="H440" s="1">
        <v>0.2</v>
      </c>
      <c r="I440" s="1">
        <v>0.3</v>
      </c>
      <c r="J440" t="s">
        <v>203</v>
      </c>
      <c r="K440" s="3">
        <v>5701.37323774719</v>
      </c>
      <c r="L440" s="4">
        <v>0.156531692659894</v>
      </c>
      <c r="M440" s="4">
        <v>1.31270743708937</v>
      </c>
      <c r="N440" s="4">
        <v>0.436559074109985</v>
      </c>
      <c r="O440" s="4">
        <v>0.876148362979384</v>
      </c>
      <c r="P440" s="4">
        <v>0.01890898</v>
      </c>
      <c r="Q440" t="s">
        <v>203</v>
      </c>
      <c r="R440" s="3">
        <v>5701.37323774719</v>
      </c>
      <c r="S440" s="4">
        <v>0.156531692659894</v>
      </c>
      <c r="T440" s="4">
        <v>1.31270743708937</v>
      </c>
      <c r="U440" s="4">
        <v>0.436559074109985</v>
      </c>
      <c r="V440" s="4">
        <v>0.876148362979384</v>
      </c>
      <c r="W440" s="4">
        <v>0.01890898</v>
      </c>
    </row>
    <row r="441" spans="1:23" x14ac:dyDescent="0.25">
      <c r="A441">
        <v>88963</v>
      </c>
      <c r="B441" t="s">
        <v>175</v>
      </c>
      <c r="C441" t="s">
        <v>176</v>
      </c>
      <c r="D441">
        <v>8</v>
      </c>
      <c r="E441" s="1">
        <v>0.111336032388664</v>
      </c>
      <c r="F441" s="1">
        <v>-0.123840821868057</v>
      </c>
      <c r="G441" s="1">
        <v>0.4</v>
      </c>
      <c r="H441" s="1">
        <v>0.2</v>
      </c>
      <c r="I441" s="1">
        <v>0.3</v>
      </c>
      <c r="J441" t="s">
        <v>203</v>
      </c>
      <c r="K441" s="3">
        <v>334.326426278114</v>
      </c>
      <c r="L441" s="4">
        <v>0.0559355639777153</v>
      </c>
      <c r="M441" s="4">
        <v>0.119189337449596</v>
      </c>
      <c r="N441" s="4">
        <v>0.436559074109985</v>
      </c>
      <c r="O441" s="4">
        <v>-0.317369736660389</v>
      </c>
      <c r="P441" s="4">
        <v>0.01890898</v>
      </c>
      <c r="Q441" t="s">
        <v>203</v>
      </c>
      <c r="R441" s="3">
        <v>334.326426278114</v>
      </c>
      <c r="S441" s="4">
        <v>0.0559355639777153</v>
      </c>
      <c r="T441" s="4">
        <v>0.119189337449596</v>
      </c>
      <c r="U441" s="4">
        <v>0.436559074109985</v>
      </c>
      <c r="V441" s="4">
        <v>-0.317369736660389</v>
      </c>
      <c r="W441" s="4">
        <v>0.01890898</v>
      </c>
    </row>
    <row r="442" spans="1:23" x14ac:dyDescent="0.25">
      <c r="A442">
        <v>89781</v>
      </c>
      <c r="B442" t="s">
        <v>128</v>
      </c>
      <c r="C442" t="s">
        <v>129</v>
      </c>
      <c r="D442">
        <v>8</v>
      </c>
      <c r="E442" s="1">
        <v>0.0873314172009728</v>
      </c>
      <c r="F442" s="1">
        <v>-0.111189489796526</v>
      </c>
      <c r="G442" s="1">
        <v>0.4</v>
      </c>
      <c r="H442" s="1">
        <v>0.2</v>
      </c>
      <c r="I442" s="1">
        <v>0.3</v>
      </c>
      <c r="J442" t="s">
        <v>203</v>
      </c>
      <c r="K442" s="3">
        <v>10536.4157470703</v>
      </c>
      <c r="L442" s="4">
        <v>-0.109105346744309</v>
      </c>
      <c r="M442" s="4">
        <v>0.352706871234519</v>
      </c>
      <c r="N442" s="4">
        <v>0.436559074109985</v>
      </c>
      <c r="O442" s="4">
        <v>-0.0838522028754665</v>
      </c>
      <c r="P442" s="4">
        <v>0.01890898</v>
      </c>
      <c r="Q442" t="s">
        <v>203</v>
      </c>
      <c r="R442" s="3">
        <v>10536.4157470703</v>
      </c>
      <c r="S442" s="4">
        <v>-0.109105346744309</v>
      </c>
      <c r="T442" s="4">
        <v>0.352706871234519</v>
      </c>
      <c r="U442" s="4">
        <v>0.436559074109985</v>
      </c>
      <c r="V442" s="4">
        <v>-0.0838522028754665</v>
      </c>
      <c r="W442" s="4">
        <v>0.01890898</v>
      </c>
    </row>
    <row r="443" spans="1:23" x14ac:dyDescent="0.25">
      <c r="A443">
        <v>90162</v>
      </c>
      <c r="B443" t="s">
        <v>69</v>
      </c>
      <c r="C443" t="s">
        <v>70</v>
      </c>
      <c r="D443">
        <v>8</v>
      </c>
      <c r="E443" s="1">
        <v>0.204545454545455</v>
      </c>
      <c r="F443" s="1">
        <v>-0.0550468367410298</v>
      </c>
      <c r="G443" s="1">
        <v>0.2</v>
      </c>
      <c r="H443" s="1">
        <v>0.4</v>
      </c>
      <c r="I443" s="1">
        <v>0.3</v>
      </c>
      <c r="J443" t="s">
        <v>203</v>
      </c>
      <c r="K443" s="3">
        <v>1166.84103109646</v>
      </c>
      <c r="L443" s="4">
        <v>-0.0484100616990982</v>
      </c>
      <c r="M443" s="4">
        <v>0.377049148560091</v>
      </c>
      <c r="N443" s="4">
        <v>0.436559074109985</v>
      </c>
      <c r="O443" s="4">
        <v>-0.0595099255498943</v>
      </c>
      <c r="P443" s="4">
        <v>0.01890898</v>
      </c>
      <c r="Q443" t="s">
        <v>203</v>
      </c>
      <c r="R443" s="3">
        <v>1166.84103109646</v>
      </c>
      <c r="S443" s="4">
        <v>-0.0484100616990982</v>
      </c>
      <c r="T443" s="4">
        <v>0.377049148560091</v>
      </c>
      <c r="U443" s="4">
        <v>0.436559074109985</v>
      </c>
      <c r="V443" s="4">
        <v>-0.0595099255498943</v>
      </c>
      <c r="W443" s="4">
        <v>0.01890898</v>
      </c>
    </row>
    <row r="444" spans="1:23" x14ac:dyDescent="0.25">
      <c r="A444">
        <v>91688</v>
      </c>
      <c r="B444" t="s">
        <v>171</v>
      </c>
      <c r="C444" t="s">
        <v>172</v>
      </c>
      <c r="D444">
        <v>8</v>
      </c>
      <c r="E444" s="1">
        <v>0.117125748502994</v>
      </c>
      <c r="F444" s="1">
        <v>-0.0295021713464245</v>
      </c>
      <c r="G444" s="1">
        <v>0.2</v>
      </c>
      <c r="H444" s="1">
        <v>0.4</v>
      </c>
      <c r="I444" s="1">
        <v>0.3</v>
      </c>
      <c r="J444" t="s">
        <v>203</v>
      </c>
      <c r="K444" s="3">
        <v>915.776088413239</v>
      </c>
      <c r="L444" s="4">
        <v>0.0443528235882059</v>
      </c>
      <c r="M444" s="4">
        <v>0.451208727318489</v>
      </c>
      <c r="N444" s="4">
        <v>0.436559074109985</v>
      </c>
      <c r="O444" s="4">
        <v>0.0146496532085034</v>
      </c>
      <c r="P444" s="4">
        <v>0.01890898</v>
      </c>
      <c r="Q444" t="s">
        <v>203</v>
      </c>
      <c r="R444" s="3">
        <v>915.776088413239</v>
      </c>
      <c r="S444" s="4">
        <v>0.0443528235882059</v>
      </c>
      <c r="T444" s="4">
        <v>0.451208727318489</v>
      </c>
      <c r="U444" s="4">
        <v>0.436559074109985</v>
      </c>
      <c r="V444" s="4">
        <v>0.0146496532085034</v>
      </c>
      <c r="W444" s="4">
        <v>0.01890898</v>
      </c>
    </row>
    <row r="445" spans="1:23" x14ac:dyDescent="0.25">
      <c r="A445">
        <v>10933</v>
      </c>
      <c r="B445" t="s">
        <v>57</v>
      </c>
      <c r="C445" t="s">
        <v>58</v>
      </c>
      <c r="D445">
        <v>8</v>
      </c>
      <c r="E445" s="1">
        <v>0.113062799058758</v>
      </c>
      <c r="F445" s="1">
        <v>-0.171659171918286</v>
      </c>
      <c r="G445" s="1">
        <v>0.2</v>
      </c>
      <c r="H445" s="1">
        <v>0.2</v>
      </c>
      <c r="I445" s="1">
        <v>0.2</v>
      </c>
      <c r="J445" t="s">
        <v>203</v>
      </c>
      <c r="K445" s="3">
        <v>12716.6665145874</v>
      </c>
      <c r="L445" s="4">
        <v>0.391426595329764</v>
      </c>
      <c r="M445" s="4">
        <v>0.365570216491071</v>
      </c>
      <c r="N445" s="4">
        <v>0.436559074109985</v>
      </c>
      <c r="O445" s="4">
        <v>-0.0709888576189142</v>
      </c>
      <c r="P445" s="4">
        <v>0.01890898</v>
      </c>
      <c r="Q445" t="s">
        <v>203</v>
      </c>
      <c r="R445" s="3">
        <v>12716.6665145874</v>
      </c>
      <c r="S445" s="4">
        <v>0.391426595329764</v>
      </c>
      <c r="T445" s="4">
        <v>0.365570216491071</v>
      </c>
      <c r="U445" s="4">
        <v>0.436559074109985</v>
      </c>
      <c r="V445" s="4">
        <v>-0.0709888576189142</v>
      </c>
      <c r="W445" s="4">
        <v>0.01890898</v>
      </c>
    </row>
    <row r="446" spans="1:23" x14ac:dyDescent="0.25">
      <c r="A446">
        <v>56822</v>
      </c>
      <c r="B446" t="s">
        <v>177</v>
      </c>
      <c r="C446" t="s">
        <v>178</v>
      </c>
      <c r="D446">
        <v>8</v>
      </c>
      <c r="E446" s="1">
        <v>0.124449944994499</v>
      </c>
      <c r="F446" s="1">
        <v>-0.275216449468859</v>
      </c>
      <c r="G446" s="1">
        <v>0.2</v>
      </c>
      <c r="H446" s="1">
        <v>0.2</v>
      </c>
      <c r="I446" s="1">
        <v>0.2</v>
      </c>
      <c r="J446" t="s">
        <v>203</v>
      </c>
      <c r="K446" s="3">
        <v>698.160848388672</v>
      </c>
      <c r="L446" s="4">
        <v>0.485115092666955</v>
      </c>
      <c r="M446" s="4">
        <v>0.252968114365341</v>
      </c>
      <c r="N446" s="4">
        <v>0.436559074109985</v>
      </c>
      <c r="O446" s="4">
        <v>-0.183590959744644</v>
      </c>
      <c r="P446" s="4">
        <v>0.01890898</v>
      </c>
      <c r="Q446" t="s">
        <v>203</v>
      </c>
      <c r="R446" s="3">
        <v>698.160848388672</v>
      </c>
      <c r="S446" s="4">
        <v>0.485115092666955</v>
      </c>
      <c r="T446" s="4">
        <v>0.252968114365341</v>
      </c>
      <c r="U446" s="4">
        <v>0.436559074109985</v>
      </c>
      <c r="V446" s="4">
        <v>-0.183590959744644</v>
      </c>
      <c r="W446" s="4">
        <v>0.01890898</v>
      </c>
    </row>
    <row r="447" spans="1:23" x14ac:dyDescent="0.25">
      <c r="A447">
        <v>59396</v>
      </c>
      <c r="B447" t="s">
        <v>100</v>
      </c>
      <c r="C447" t="s">
        <v>101</v>
      </c>
      <c r="D447">
        <v>8</v>
      </c>
      <c r="E447" s="1">
        <v>0.157353598569513</v>
      </c>
      <c r="F447" s="1">
        <v>-0.254412242163808</v>
      </c>
      <c r="G447" s="1">
        <v>0.2</v>
      </c>
      <c r="H447" s="1">
        <v>0.2</v>
      </c>
      <c r="I447" s="1">
        <v>0.2</v>
      </c>
      <c r="J447" t="s">
        <v>203</v>
      </c>
      <c r="K447" s="3">
        <v>4958.12566765022</v>
      </c>
      <c r="L447" s="4">
        <v>0.197930851240493</v>
      </c>
      <c r="M447" s="4">
        <v>0.864055216676818</v>
      </c>
      <c r="N447" s="4">
        <v>0.436559074109985</v>
      </c>
      <c r="O447" s="4">
        <v>0.427496142566832</v>
      </c>
      <c r="P447" s="4">
        <v>0.01890898</v>
      </c>
      <c r="Q447" t="s">
        <v>203</v>
      </c>
      <c r="R447" s="3">
        <v>4958.12566765022</v>
      </c>
      <c r="S447" s="4">
        <v>0.197930851240493</v>
      </c>
      <c r="T447" s="4">
        <v>0.864055216676818</v>
      </c>
      <c r="U447" s="4">
        <v>0.436559074109985</v>
      </c>
      <c r="V447" s="4">
        <v>0.427496142566832</v>
      </c>
      <c r="W447" s="4">
        <v>0.01890898</v>
      </c>
    </row>
    <row r="448" spans="1:23" x14ac:dyDescent="0.25">
      <c r="A448">
        <v>87842</v>
      </c>
      <c r="B448" t="s">
        <v>51</v>
      </c>
      <c r="C448" t="s">
        <v>52</v>
      </c>
      <c r="D448">
        <v>8</v>
      </c>
      <c r="E448" s="1">
        <v>0.119678242103198</v>
      </c>
      <c r="F448" s="1">
        <v>-0.158480674016307</v>
      </c>
      <c r="G448" s="1">
        <v>0.2</v>
      </c>
      <c r="H448" s="1">
        <v>0.2</v>
      </c>
      <c r="I448" s="1">
        <v>0.2</v>
      </c>
      <c r="J448" t="s">
        <v>203</v>
      </c>
      <c r="K448" s="3">
        <v>33145.1506954613</v>
      </c>
      <c r="L448" s="4">
        <v>0.0262960401430316</v>
      </c>
      <c r="M448" s="4">
        <v>0.883607304639309</v>
      </c>
      <c r="N448" s="4">
        <v>0.436559074109985</v>
      </c>
      <c r="O448" s="4">
        <v>0.447048230529324</v>
      </c>
      <c r="P448" s="4">
        <v>0.01890898</v>
      </c>
      <c r="Q448" t="s">
        <v>203</v>
      </c>
      <c r="R448" s="3">
        <v>33145.1506954613</v>
      </c>
      <c r="S448" s="4">
        <v>0.0262960401430316</v>
      </c>
      <c r="T448" s="4">
        <v>0.883607304639309</v>
      </c>
      <c r="U448" s="4">
        <v>0.436559074109985</v>
      </c>
      <c r="V448" s="4">
        <v>0.447048230529324</v>
      </c>
      <c r="W448" s="4">
        <v>0.01890898</v>
      </c>
    </row>
    <row r="449" spans="1:23" x14ac:dyDescent="0.25">
      <c r="A449">
        <v>13904</v>
      </c>
      <c r="B449" t="s">
        <v>111</v>
      </c>
      <c r="C449" t="s">
        <v>112</v>
      </c>
      <c r="D449">
        <v>9</v>
      </c>
      <c r="E449" s="1">
        <v>0.0236354361503146</v>
      </c>
      <c r="F449" s="1">
        <v>0.115755075646914</v>
      </c>
      <c r="G449" s="1">
        <v>1</v>
      </c>
      <c r="H449" s="1">
        <v>1</v>
      </c>
      <c r="I449" s="1">
        <v>1</v>
      </c>
      <c r="J449" t="s">
        <v>208</v>
      </c>
      <c r="K449" s="3">
        <v>7455.7065</v>
      </c>
      <c r="L449" s="4">
        <v>0.0231407169609417</v>
      </c>
      <c r="M449" s="4">
        <v>0.0594058864725304</v>
      </c>
      <c r="N449" s="4">
        <v>-0.0525800429523048</v>
      </c>
      <c r="O449" s="4">
        <v>0.111985929424835</v>
      </c>
      <c r="P449" s="4">
        <v>-0.001605349</v>
      </c>
      <c r="Q449" t="s">
        <v>208</v>
      </c>
      <c r="R449" s="3">
        <v>7455.7065</v>
      </c>
      <c r="S449" s="4">
        <v>0.0231407169609417</v>
      </c>
      <c r="T449" s="4">
        <v>0.0594058864725304</v>
      </c>
      <c r="U449" s="4">
        <v>-0.0525800429523048</v>
      </c>
      <c r="V449" s="4">
        <v>0.111985929424835</v>
      </c>
      <c r="W449" s="4">
        <v>-0.001605349</v>
      </c>
    </row>
    <row r="450" spans="1:23" x14ac:dyDescent="0.25">
      <c r="A450">
        <v>93089</v>
      </c>
      <c r="B450" t="s">
        <v>37</v>
      </c>
      <c r="C450" t="s">
        <v>38</v>
      </c>
      <c r="D450">
        <v>9</v>
      </c>
      <c r="E450" s="1">
        <v>0.0210992822390289</v>
      </c>
      <c r="F450" s="1">
        <v>0.207923244458583</v>
      </c>
      <c r="G450" s="1">
        <v>1</v>
      </c>
      <c r="H450" s="1">
        <v>1</v>
      </c>
      <c r="I450" s="1">
        <v>1</v>
      </c>
      <c r="J450" t="s">
        <v>208</v>
      </c>
      <c r="K450" s="3">
        <v>28291.7109176636</v>
      </c>
      <c r="L450" s="4">
        <v>0.0680833109585363</v>
      </c>
      <c r="M450" s="4">
        <v>0.0179960627396054</v>
      </c>
      <c r="N450" s="4">
        <v>-0.0525800429523048</v>
      </c>
      <c r="O450" s="4">
        <v>0.0705761056919102</v>
      </c>
      <c r="P450" s="4">
        <v>-0.001605349</v>
      </c>
      <c r="Q450" t="s">
        <v>208</v>
      </c>
      <c r="R450" s="3">
        <v>28291.7109176636</v>
      </c>
      <c r="S450" s="4">
        <v>0.0680833109585363</v>
      </c>
      <c r="T450" s="4">
        <v>0.0179960627396054</v>
      </c>
      <c r="U450" s="4">
        <v>-0.0525800429523048</v>
      </c>
      <c r="V450" s="4">
        <v>0.0705761056919102</v>
      </c>
      <c r="W450" s="4">
        <v>-0.001605349</v>
      </c>
    </row>
    <row r="451" spans="1:23" x14ac:dyDescent="0.25">
      <c r="A451">
        <v>16171</v>
      </c>
      <c r="B451" t="s">
        <v>180</v>
      </c>
      <c r="C451" t="s">
        <v>181</v>
      </c>
      <c r="D451">
        <v>9</v>
      </c>
      <c r="E451" s="1">
        <v>0.019787138360066</v>
      </c>
      <c r="F451" s="1">
        <v>0.0475718128007375</v>
      </c>
      <c r="G451" s="1">
        <v>1</v>
      </c>
      <c r="H451" s="1">
        <v>0.8</v>
      </c>
      <c r="I451" s="1">
        <v>0.9</v>
      </c>
      <c r="J451" t="s">
        <v>208</v>
      </c>
      <c r="K451" s="3">
        <v>3757.74471743774</v>
      </c>
      <c r="L451" s="4">
        <v>0.45585144101707</v>
      </c>
      <c r="M451" s="4">
        <v>0.323952157344735</v>
      </c>
      <c r="N451" s="4">
        <v>-0.0525800429523048</v>
      </c>
      <c r="O451" s="4">
        <v>0.37653220029704</v>
      </c>
      <c r="P451" s="4">
        <v>-0.001605349</v>
      </c>
      <c r="Q451" t="s">
        <v>208</v>
      </c>
      <c r="R451" s="3">
        <v>3757.74471743774</v>
      </c>
      <c r="S451" s="4">
        <v>0.45585144101707</v>
      </c>
      <c r="T451" s="4">
        <v>0.323952157344735</v>
      </c>
      <c r="U451" s="4">
        <v>-0.0525800429523048</v>
      </c>
      <c r="V451" s="4">
        <v>0.37653220029704</v>
      </c>
      <c r="W451" s="4">
        <v>-0.001605349</v>
      </c>
    </row>
    <row r="452" spans="1:23" x14ac:dyDescent="0.25">
      <c r="A452">
        <v>33770</v>
      </c>
      <c r="B452" t="s">
        <v>182</v>
      </c>
      <c r="C452" t="s">
        <v>183</v>
      </c>
      <c r="D452">
        <v>9</v>
      </c>
      <c r="E452" s="1">
        <v>0.0135338345864662</v>
      </c>
      <c r="F452" s="1">
        <v>0.0560130612396987</v>
      </c>
      <c r="G452" s="1">
        <v>1</v>
      </c>
      <c r="H452" s="1">
        <v>0.8</v>
      </c>
      <c r="I452" s="1">
        <v>0.9</v>
      </c>
      <c r="J452" t="s">
        <v>208</v>
      </c>
      <c r="K452" s="3">
        <v>82.3758020143509</v>
      </c>
      <c r="L452" s="4">
        <v>-0.0975041734506707</v>
      </c>
      <c r="M452" s="4">
        <v>-0.426961115448116</v>
      </c>
      <c r="N452" s="4">
        <v>-0.0525800429523048</v>
      </c>
      <c r="O452" s="4">
        <v>-0.374381072495811</v>
      </c>
      <c r="P452" s="4">
        <v>-0.001605349</v>
      </c>
      <c r="Q452" t="s">
        <v>208</v>
      </c>
      <c r="R452" s="3">
        <v>82.3758020143509</v>
      </c>
      <c r="S452" s="4">
        <v>-0.0975041734506707</v>
      </c>
      <c r="T452" s="4">
        <v>-0.426961115448116</v>
      </c>
      <c r="U452" s="4">
        <v>-0.0525800429523048</v>
      </c>
      <c r="V452" s="4">
        <v>-0.374381072495811</v>
      </c>
      <c r="W452" s="4">
        <v>-0.001605349</v>
      </c>
    </row>
    <row r="453" spans="1:23" x14ac:dyDescent="0.25">
      <c r="A453">
        <v>45751</v>
      </c>
      <c r="B453" t="s">
        <v>27</v>
      </c>
      <c r="C453" t="s">
        <v>28</v>
      </c>
      <c r="D453">
        <v>9</v>
      </c>
      <c r="E453" s="1">
        <v>0.034017094017094</v>
      </c>
      <c r="F453" s="1">
        <v>0.0365166174626351</v>
      </c>
      <c r="G453" s="1">
        <v>1</v>
      </c>
      <c r="H453" s="1">
        <v>0.8</v>
      </c>
      <c r="I453" s="1">
        <v>0.9</v>
      </c>
      <c r="J453" t="s">
        <v>208</v>
      </c>
      <c r="K453" s="3">
        <v>71540.2780354004</v>
      </c>
      <c r="L453" s="4">
        <v>0.0343502282008167</v>
      </c>
      <c r="M453" s="4">
        <v>0.171966932683499</v>
      </c>
      <c r="N453" s="4">
        <v>-0.0525800429523048</v>
      </c>
      <c r="O453" s="4">
        <v>0.224546975635804</v>
      </c>
      <c r="P453" s="4">
        <v>-0.001605349</v>
      </c>
      <c r="Q453" t="s">
        <v>208</v>
      </c>
      <c r="R453" s="3">
        <v>71540.2780354004</v>
      </c>
      <c r="S453" s="4">
        <v>0.0343502282008167</v>
      </c>
      <c r="T453" s="4">
        <v>0.171966932683499</v>
      </c>
      <c r="U453" s="4">
        <v>-0.0525800429523048</v>
      </c>
      <c r="V453" s="4">
        <v>0.224546975635804</v>
      </c>
      <c r="W453" s="4">
        <v>-0.001605349</v>
      </c>
    </row>
    <row r="454" spans="1:23" x14ac:dyDescent="0.25">
      <c r="A454">
        <v>78211</v>
      </c>
      <c r="B454" t="s">
        <v>165</v>
      </c>
      <c r="C454" t="s">
        <v>166</v>
      </c>
      <c r="D454">
        <v>9</v>
      </c>
      <c r="E454" s="1">
        <v>0.0397088021178028</v>
      </c>
      <c r="F454" s="1">
        <v>0.0937256207594021</v>
      </c>
      <c r="G454" s="1">
        <v>0.8</v>
      </c>
      <c r="H454" s="1">
        <v>1</v>
      </c>
      <c r="I454" s="1">
        <v>0.9</v>
      </c>
      <c r="J454" t="s">
        <v>208</v>
      </c>
      <c r="K454" s="3">
        <v>433.278083572388</v>
      </c>
      <c r="L454" s="4">
        <v>0.142033169709725</v>
      </c>
      <c r="M454" s="4">
        <v>-0.0360143119569879</v>
      </c>
      <c r="N454" s="4">
        <v>-0.0525800429523048</v>
      </c>
      <c r="O454" s="4">
        <v>0.0165657309953169</v>
      </c>
      <c r="P454" s="4">
        <v>-0.001605349</v>
      </c>
      <c r="Q454" t="s">
        <v>208</v>
      </c>
      <c r="R454" s="3">
        <v>433.278083572388</v>
      </c>
      <c r="S454" s="4">
        <v>0.142033169709725</v>
      </c>
      <c r="T454" s="4">
        <v>-0.0360143119569879</v>
      </c>
      <c r="U454" s="4">
        <v>-0.0525800429523048</v>
      </c>
      <c r="V454" s="4">
        <v>0.0165657309953169</v>
      </c>
      <c r="W454" s="4">
        <v>-0.001605349</v>
      </c>
    </row>
    <row r="455" spans="1:23" x14ac:dyDescent="0.25">
      <c r="A455">
        <v>89179</v>
      </c>
      <c r="B455" t="s">
        <v>118</v>
      </c>
      <c r="C455" t="s">
        <v>119</v>
      </c>
      <c r="D455">
        <v>9</v>
      </c>
      <c r="E455" s="1">
        <v>0.0567753589336323</v>
      </c>
      <c r="F455" s="1">
        <v>0.291756911607615</v>
      </c>
      <c r="G455" s="1">
        <v>0.8</v>
      </c>
      <c r="H455" s="1">
        <v>1</v>
      </c>
      <c r="I455" s="1">
        <v>0.9</v>
      </c>
      <c r="J455" t="s">
        <v>208</v>
      </c>
      <c r="K455" s="3">
        <v>93480.2908112183</v>
      </c>
      <c r="L455" s="4">
        <v>0.169403049523572</v>
      </c>
      <c r="M455" s="4">
        <v>0.293898917498848</v>
      </c>
      <c r="N455" s="4">
        <v>-0.0525800429523048</v>
      </c>
      <c r="O455" s="4">
        <v>0.346478960451153</v>
      </c>
      <c r="P455" s="4">
        <v>-0.001605349</v>
      </c>
      <c r="Q455" t="s">
        <v>208</v>
      </c>
      <c r="R455" s="3">
        <v>93480.2908112183</v>
      </c>
      <c r="S455" s="4">
        <v>0.169403049523572</v>
      </c>
      <c r="T455" s="4">
        <v>0.293898917498848</v>
      </c>
      <c r="U455" s="4">
        <v>-0.0525800429523048</v>
      </c>
      <c r="V455" s="4">
        <v>0.346478960451153</v>
      </c>
      <c r="W455" s="4">
        <v>-0.001605349</v>
      </c>
    </row>
    <row r="456" spans="1:23" x14ac:dyDescent="0.25">
      <c r="A456">
        <v>17743</v>
      </c>
      <c r="B456" t="s">
        <v>75</v>
      </c>
      <c r="C456" t="s">
        <v>76</v>
      </c>
      <c r="D456">
        <v>9</v>
      </c>
      <c r="E456" s="1">
        <v>0.0427582053598314</v>
      </c>
      <c r="F456" s="1">
        <v>0.0375344244810405</v>
      </c>
      <c r="G456" s="1">
        <v>0.8</v>
      </c>
      <c r="H456" s="1">
        <v>0.8</v>
      </c>
      <c r="I456" s="1">
        <v>0.8</v>
      </c>
      <c r="J456" t="s">
        <v>208</v>
      </c>
      <c r="K456" s="3">
        <v>13202.4678841324</v>
      </c>
      <c r="L456" s="4">
        <v>0.0270228451365133</v>
      </c>
      <c r="M456" s="4">
        <v>0.402869747415025</v>
      </c>
      <c r="N456" s="4">
        <v>-0.0525800429523048</v>
      </c>
      <c r="O456" s="4">
        <v>0.45544979036733</v>
      </c>
      <c r="P456" s="4">
        <v>-0.001605349</v>
      </c>
      <c r="Q456" t="s">
        <v>208</v>
      </c>
      <c r="R456" s="3">
        <v>13202.4678841324</v>
      </c>
      <c r="S456" s="4">
        <v>0.0270228451365133</v>
      </c>
      <c r="T456" s="4">
        <v>0.402869747415025</v>
      </c>
      <c r="U456" s="4">
        <v>-0.0525800429523048</v>
      </c>
      <c r="V456" s="4">
        <v>0.45544979036733</v>
      </c>
      <c r="W456" s="4">
        <v>-0.001605349</v>
      </c>
    </row>
    <row r="457" spans="1:23" x14ac:dyDescent="0.25">
      <c r="A457">
        <v>38093</v>
      </c>
      <c r="B457" t="s">
        <v>25</v>
      </c>
      <c r="C457" t="s">
        <v>26</v>
      </c>
      <c r="D457">
        <v>9</v>
      </c>
      <c r="E457" s="1">
        <v>0.0346778756769865</v>
      </c>
      <c r="F457" s="1">
        <v>-0.0103517157589739</v>
      </c>
      <c r="G457" s="1">
        <v>1</v>
      </c>
      <c r="H457" s="1">
        <v>0.6</v>
      </c>
      <c r="I457" s="1">
        <v>0.8</v>
      </c>
      <c r="J457" t="s">
        <v>208</v>
      </c>
      <c r="K457" s="3">
        <v>27439.8513186798</v>
      </c>
      <c r="L457" s="4">
        <v>-0.0266018068102849</v>
      </c>
      <c r="M457" s="4">
        <v>0.11832972112727</v>
      </c>
      <c r="N457" s="4">
        <v>-0.0525800429523048</v>
      </c>
      <c r="O457" s="4">
        <v>0.170909764079575</v>
      </c>
      <c r="P457" s="4">
        <v>-0.001605349</v>
      </c>
      <c r="Q457" t="s">
        <v>208</v>
      </c>
      <c r="R457" s="3">
        <v>27439.8513186798</v>
      </c>
      <c r="S457" s="4">
        <v>-0.0266018068102849</v>
      </c>
      <c r="T457" s="4">
        <v>0.11832972112727</v>
      </c>
      <c r="U457" s="4">
        <v>-0.0525800429523048</v>
      </c>
      <c r="V457" s="4">
        <v>0.170909764079575</v>
      </c>
      <c r="W457" s="4">
        <v>-0.001605349</v>
      </c>
    </row>
    <row r="458" spans="1:23" x14ac:dyDescent="0.25">
      <c r="A458">
        <v>48653</v>
      </c>
      <c r="B458" t="s">
        <v>39</v>
      </c>
      <c r="C458" t="s">
        <v>40</v>
      </c>
      <c r="D458">
        <v>9</v>
      </c>
      <c r="E458" s="1">
        <v>0.0620810685646038</v>
      </c>
      <c r="F458" s="1">
        <v>0.34348388271964</v>
      </c>
      <c r="G458" s="1">
        <v>0.6</v>
      </c>
      <c r="H458" s="1">
        <v>1</v>
      </c>
      <c r="I458" s="1">
        <v>0.8</v>
      </c>
      <c r="J458" t="s">
        <v>208</v>
      </c>
      <c r="K458" s="3">
        <v>57117.0782374878</v>
      </c>
      <c r="L458" s="4">
        <v>0.17966342004685</v>
      </c>
      <c r="M458" s="4">
        <v>0.0447346349082098</v>
      </c>
      <c r="N458" s="4">
        <v>-0.0525800429523048</v>
      </c>
      <c r="O458" s="4">
        <v>0.0973146778605146</v>
      </c>
      <c r="P458" s="4">
        <v>-0.001605349</v>
      </c>
      <c r="Q458" t="s">
        <v>208</v>
      </c>
      <c r="R458" s="3">
        <v>57117.0782374878</v>
      </c>
      <c r="S458" s="4">
        <v>0.17966342004685</v>
      </c>
      <c r="T458" s="4">
        <v>0.0447346349082098</v>
      </c>
      <c r="U458" s="4">
        <v>-0.0525800429523048</v>
      </c>
      <c r="V458" s="4">
        <v>0.0973146778605146</v>
      </c>
      <c r="W458" s="4">
        <v>-0.001605349</v>
      </c>
    </row>
    <row r="459" spans="1:23" x14ac:dyDescent="0.25">
      <c r="A459">
        <v>77120</v>
      </c>
      <c r="B459" t="s">
        <v>124</v>
      </c>
      <c r="C459" t="s">
        <v>125</v>
      </c>
      <c r="D459">
        <v>9</v>
      </c>
      <c r="E459" s="1">
        <v>0.0756422454804948</v>
      </c>
      <c r="F459" s="1">
        <v>0.250498266578852</v>
      </c>
      <c r="G459" s="1">
        <v>0.6</v>
      </c>
      <c r="H459" s="1">
        <v>1</v>
      </c>
      <c r="I459" s="1">
        <v>0.8</v>
      </c>
      <c r="J459" t="s">
        <v>208</v>
      </c>
      <c r="K459" s="3">
        <v>1552.33120404053</v>
      </c>
      <c r="L459" s="4">
        <v>-0.0747534686654455</v>
      </c>
      <c r="M459" s="4">
        <v>0.0473884952920727</v>
      </c>
      <c r="N459" s="4">
        <v>-0.0525800429523048</v>
      </c>
      <c r="O459" s="4">
        <v>0.0999685382443775</v>
      </c>
      <c r="P459" s="4">
        <v>-0.001605349</v>
      </c>
      <c r="Q459" t="s">
        <v>208</v>
      </c>
      <c r="R459" s="3">
        <v>1552.33120404053</v>
      </c>
      <c r="S459" s="4">
        <v>-0.0747534686654455</v>
      </c>
      <c r="T459" s="4">
        <v>0.0473884952920727</v>
      </c>
      <c r="U459" s="4">
        <v>-0.0525800429523048</v>
      </c>
      <c r="V459" s="4">
        <v>0.0999685382443775</v>
      </c>
      <c r="W459" s="4">
        <v>-0.001605349</v>
      </c>
    </row>
    <row r="460" spans="1:23" x14ac:dyDescent="0.25">
      <c r="A460">
        <v>82292</v>
      </c>
      <c r="B460" t="s">
        <v>19</v>
      </c>
      <c r="C460" t="s">
        <v>20</v>
      </c>
      <c r="D460">
        <v>9</v>
      </c>
      <c r="E460" s="1">
        <v>0.082192952446117</v>
      </c>
      <c r="F460" s="1">
        <v>0.0886837280978779</v>
      </c>
      <c r="G460" s="1">
        <v>0.6</v>
      </c>
      <c r="H460" s="1">
        <v>1</v>
      </c>
      <c r="I460" s="1">
        <v>0.8</v>
      </c>
      <c r="J460" t="s">
        <v>208</v>
      </c>
      <c r="K460" s="3">
        <v>4869.06905809021</v>
      </c>
      <c r="L460" s="4">
        <v>-0.00682928824094703</v>
      </c>
      <c r="M460" s="4">
        <v>0.0735361041276492</v>
      </c>
      <c r="N460" s="4">
        <v>-0.0525800429523048</v>
      </c>
      <c r="O460" s="4">
        <v>0.126116147079954</v>
      </c>
      <c r="P460" s="4">
        <v>-0.001605349</v>
      </c>
      <c r="Q460" t="s">
        <v>208</v>
      </c>
      <c r="R460" s="3">
        <v>4869.06905809021</v>
      </c>
      <c r="S460" s="4">
        <v>-0.00682928824094703</v>
      </c>
      <c r="T460" s="4">
        <v>0.0735361041276492</v>
      </c>
      <c r="U460" s="4">
        <v>-0.0525800429523048</v>
      </c>
      <c r="V460" s="4">
        <v>0.126116147079954</v>
      </c>
      <c r="W460" s="4">
        <v>-0.001605349</v>
      </c>
    </row>
    <row r="461" spans="1:23" x14ac:dyDescent="0.25">
      <c r="A461">
        <v>87666</v>
      </c>
      <c r="B461" t="s">
        <v>35</v>
      </c>
      <c r="C461" t="s">
        <v>36</v>
      </c>
      <c r="D461">
        <v>9</v>
      </c>
      <c r="E461" s="1">
        <v>0.0726148409893993</v>
      </c>
      <c r="F461" s="1">
        <v>0.0944176918786246</v>
      </c>
      <c r="G461" s="1">
        <v>0.6</v>
      </c>
      <c r="H461" s="1">
        <v>1</v>
      </c>
      <c r="I461" s="1">
        <v>0.8</v>
      </c>
      <c r="J461" t="s">
        <v>208</v>
      </c>
      <c r="K461" s="3">
        <v>30168.269515892</v>
      </c>
      <c r="L461" s="4">
        <v>0.084172049471734</v>
      </c>
      <c r="M461" s="4">
        <v>-0.0582237608514902</v>
      </c>
      <c r="N461" s="4">
        <v>-0.0525800429523048</v>
      </c>
      <c r="O461" s="4">
        <v>-0.00564371789918539</v>
      </c>
      <c r="P461" s="4">
        <v>-0.001605349</v>
      </c>
      <c r="Q461" t="s">
        <v>208</v>
      </c>
      <c r="R461" s="3">
        <v>30168.269515892</v>
      </c>
      <c r="S461" s="4">
        <v>0.084172049471734</v>
      </c>
      <c r="T461" s="4">
        <v>-0.0582237608514902</v>
      </c>
      <c r="U461" s="4">
        <v>-0.0525800429523048</v>
      </c>
      <c r="V461" s="4">
        <v>-0.00564371789918539</v>
      </c>
      <c r="W461" s="4">
        <v>-0.001605349</v>
      </c>
    </row>
    <row r="462" spans="1:23" x14ac:dyDescent="0.25">
      <c r="A462">
        <v>90038</v>
      </c>
      <c r="B462" t="s">
        <v>73</v>
      </c>
      <c r="C462" t="s">
        <v>74</v>
      </c>
      <c r="D462">
        <v>9</v>
      </c>
      <c r="E462" s="1">
        <v>0.0516811040963148</v>
      </c>
      <c r="F462" s="1">
        <v>0.0659762732826893</v>
      </c>
      <c r="G462" s="1">
        <v>0.8</v>
      </c>
      <c r="H462" s="1">
        <v>0.8</v>
      </c>
      <c r="I462" s="1">
        <v>0.8</v>
      </c>
      <c r="J462" t="s">
        <v>208</v>
      </c>
      <c r="K462" s="3">
        <v>9459.35361639404</v>
      </c>
      <c r="L462" s="4">
        <v>0.000793115755244478</v>
      </c>
      <c r="M462" s="4">
        <v>0.11430882964674</v>
      </c>
      <c r="N462" s="4">
        <v>-0.0525800429523048</v>
      </c>
      <c r="O462" s="4">
        <v>0.166888872599045</v>
      </c>
      <c r="P462" s="4">
        <v>-0.001605349</v>
      </c>
      <c r="Q462" t="s">
        <v>208</v>
      </c>
      <c r="R462" s="3">
        <v>9459.35361639404</v>
      </c>
      <c r="S462" s="4">
        <v>0.000793115755244478</v>
      </c>
      <c r="T462" s="4">
        <v>0.11430882964674</v>
      </c>
      <c r="U462" s="4">
        <v>-0.0525800429523048</v>
      </c>
      <c r="V462" s="4">
        <v>0.166888872599045</v>
      </c>
      <c r="W462" s="4">
        <v>-0.001605349</v>
      </c>
    </row>
    <row r="463" spans="1:23" x14ac:dyDescent="0.25">
      <c r="A463">
        <v>90963</v>
      </c>
      <c r="B463" t="s">
        <v>159</v>
      </c>
      <c r="C463" t="s">
        <v>160</v>
      </c>
      <c r="D463">
        <v>9</v>
      </c>
      <c r="E463" s="1">
        <v>0.0781821347727669</v>
      </c>
      <c r="F463" s="1">
        <v>0.0922257253240143</v>
      </c>
      <c r="G463" s="1">
        <v>0.6</v>
      </c>
      <c r="H463" s="1">
        <v>1</v>
      </c>
      <c r="I463" s="1">
        <v>0.8</v>
      </c>
      <c r="J463" t="s">
        <v>208</v>
      </c>
      <c r="K463" s="3">
        <v>1155.83713340759</v>
      </c>
      <c r="L463" s="4">
        <v>-0.0834111834111835</v>
      </c>
      <c r="M463" s="4">
        <v>-0.154886696868512</v>
      </c>
      <c r="N463" s="4">
        <v>-0.0525800429523048</v>
      </c>
      <c r="O463" s="4">
        <v>-0.102306653916207</v>
      </c>
      <c r="P463" s="4">
        <v>-0.001605349</v>
      </c>
      <c r="Q463" t="s">
        <v>208</v>
      </c>
      <c r="R463" s="3">
        <v>1155.83713340759</v>
      </c>
      <c r="S463" s="4">
        <v>-0.0834111834111835</v>
      </c>
      <c r="T463" s="4">
        <v>-0.154886696868512</v>
      </c>
      <c r="U463" s="4">
        <v>-0.0525800429523048</v>
      </c>
      <c r="V463" s="4">
        <v>-0.102306653916207</v>
      </c>
      <c r="W463" s="4">
        <v>-0.001605349</v>
      </c>
    </row>
    <row r="464" spans="1:23" x14ac:dyDescent="0.25">
      <c r="A464">
        <v>91498</v>
      </c>
      <c r="B464" t="s">
        <v>197</v>
      </c>
      <c r="C464" t="s">
        <v>198</v>
      </c>
      <c r="D464">
        <v>9</v>
      </c>
      <c r="E464" s="1">
        <v>0.0247840249256479</v>
      </c>
      <c r="F464" s="1">
        <v>0.0284771686062008</v>
      </c>
      <c r="G464" s="1">
        <v>1</v>
      </c>
      <c r="H464" s="1">
        <v>0.6</v>
      </c>
      <c r="I464" s="1">
        <v>0.8</v>
      </c>
      <c r="J464" t="s">
        <v>208</v>
      </c>
      <c r="K464" s="3">
        <v>1529.26243995667</v>
      </c>
      <c r="L464" s="4">
        <v>0.151269950079119</v>
      </c>
      <c r="M464" s="4">
        <v>-0.839080449621479</v>
      </c>
      <c r="N464" s="4">
        <v>-0.0525800429523048</v>
      </c>
      <c r="O464" s="4">
        <v>-0.786500406669174</v>
      </c>
      <c r="P464" s="4">
        <v>-0.001605349</v>
      </c>
      <c r="Q464" t="s">
        <v>208</v>
      </c>
      <c r="R464" s="3">
        <v>1529.26243995667</v>
      </c>
      <c r="S464" s="4">
        <v>0.151269950079119</v>
      </c>
      <c r="T464" s="4">
        <v>-0.839080449621479</v>
      </c>
      <c r="U464" s="4">
        <v>-0.0525800429523048</v>
      </c>
      <c r="V464" s="4">
        <v>-0.786500406669174</v>
      </c>
      <c r="W464" s="4">
        <v>-0.001605349</v>
      </c>
    </row>
    <row r="465" spans="1:23" x14ac:dyDescent="0.25">
      <c r="A465">
        <v>92655</v>
      </c>
      <c r="B465" t="s">
        <v>91</v>
      </c>
      <c r="C465" t="s">
        <v>92</v>
      </c>
      <c r="D465">
        <v>9</v>
      </c>
      <c r="E465" s="1">
        <v>0.0462815102087373</v>
      </c>
      <c r="F465" s="1">
        <v>0.0724516205994979</v>
      </c>
      <c r="G465" s="1">
        <v>0.8</v>
      </c>
      <c r="H465" s="1">
        <v>0.8</v>
      </c>
      <c r="I465" s="1">
        <v>0.8</v>
      </c>
      <c r="J465" t="s">
        <v>208</v>
      </c>
      <c r="K465" s="3">
        <v>377896.03118396</v>
      </c>
      <c r="L465" s="4">
        <v>0.0618859821188908</v>
      </c>
      <c r="M465" s="4">
        <v>0.221841734666084</v>
      </c>
      <c r="N465" s="4">
        <v>-0.0525800429523048</v>
      </c>
      <c r="O465" s="4">
        <v>0.274421777618389</v>
      </c>
      <c r="P465" s="4">
        <v>-0.001605349</v>
      </c>
      <c r="Q465" t="s">
        <v>208</v>
      </c>
      <c r="R465" s="3">
        <v>377896.03118396</v>
      </c>
      <c r="S465" s="4">
        <v>0.0618859821188908</v>
      </c>
      <c r="T465" s="4">
        <v>0.221841734666084</v>
      </c>
      <c r="U465" s="4">
        <v>-0.0525800429523048</v>
      </c>
      <c r="V465" s="4">
        <v>0.274421777618389</v>
      </c>
      <c r="W465" s="4">
        <v>-0.001605349</v>
      </c>
    </row>
    <row r="466" spans="1:23" x14ac:dyDescent="0.25">
      <c r="A466">
        <v>17688</v>
      </c>
      <c r="B466" t="s">
        <v>204</v>
      </c>
      <c r="C466" t="s">
        <v>205</v>
      </c>
      <c r="D466">
        <v>9</v>
      </c>
      <c r="E466" s="1">
        <v>0.00440846425136262</v>
      </c>
      <c r="F466" s="1">
        <v>-0.0171559858334307</v>
      </c>
      <c r="G466" s="1">
        <v>1</v>
      </c>
      <c r="H466" s="1">
        <v>0.4</v>
      </c>
      <c r="I466" s="1">
        <v>0.7</v>
      </c>
      <c r="J466" t="s">
        <v>208</v>
      </c>
      <c r="K466" s="3">
        <v>2445.30575862122</v>
      </c>
      <c r="L466" s="4">
        <v>0.510130862349327</v>
      </c>
      <c r="M466" s="4">
        <v>-0.417438835792104</v>
      </c>
      <c r="N466" s="4">
        <v>-0.0525800429523048</v>
      </c>
      <c r="O466" s="4">
        <v>-0.364858792839799</v>
      </c>
      <c r="P466" s="4">
        <v>-0.001605349</v>
      </c>
      <c r="Q466" t="s">
        <v>208</v>
      </c>
      <c r="R466" s="3">
        <v>2445.30575862122</v>
      </c>
      <c r="S466" s="4">
        <v>0.510130862349327</v>
      </c>
      <c r="T466" s="4">
        <v>-0.417438835792104</v>
      </c>
      <c r="U466" s="4">
        <v>-0.0525800429523048</v>
      </c>
      <c r="V466" s="4">
        <v>-0.364858792839799</v>
      </c>
      <c r="W466" s="4">
        <v>-0.001605349</v>
      </c>
    </row>
    <row r="467" spans="1:23" x14ac:dyDescent="0.25">
      <c r="A467">
        <v>18563</v>
      </c>
      <c r="B467" t="s">
        <v>209</v>
      </c>
      <c r="C467" t="s">
        <v>210</v>
      </c>
      <c r="D467">
        <v>9</v>
      </c>
      <c r="E467" s="1">
        <v>0.00281404772624944</v>
      </c>
      <c r="F467" s="1">
        <v>-0.0581077797305374</v>
      </c>
      <c r="G467" s="1">
        <v>1</v>
      </c>
      <c r="H467" s="1">
        <v>0.4</v>
      </c>
      <c r="I467" s="1">
        <v>0.7</v>
      </c>
      <c r="J467" t="s">
        <v>208</v>
      </c>
      <c r="K467" s="3">
        <v>1914.42017677307</v>
      </c>
      <c r="L467" s="4">
        <v>0.486928046886033</v>
      </c>
      <c r="M467" s="4">
        <v>-0.148630110074837</v>
      </c>
      <c r="N467" s="4">
        <v>-0.0525800429523048</v>
      </c>
      <c r="O467" s="4">
        <v>-0.0960500671225317</v>
      </c>
      <c r="P467" s="4">
        <v>-0.001605349</v>
      </c>
      <c r="Q467" t="s">
        <v>208</v>
      </c>
      <c r="R467" s="3">
        <v>1914.42017677307</v>
      </c>
      <c r="S467" s="4">
        <v>0.486928046886033</v>
      </c>
      <c r="T467" s="4">
        <v>-0.148630110074837</v>
      </c>
      <c r="U467" s="4">
        <v>-0.0525800429523048</v>
      </c>
      <c r="V467" s="4">
        <v>-0.0960500671225317</v>
      </c>
      <c r="W467" s="4">
        <v>-0.001605349</v>
      </c>
    </row>
    <row r="468" spans="1:23" x14ac:dyDescent="0.25">
      <c r="A468">
        <v>64186</v>
      </c>
      <c r="B468" t="s">
        <v>189</v>
      </c>
      <c r="C468" t="s">
        <v>190</v>
      </c>
      <c r="D468">
        <v>9</v>
      </c>
      <c r="E468" s="1">
        <v>0.111297915265636</v>
      </c>
      <c r="F468" s="1">
        <v>0.102491095523893</v>
      </c>
      <c r="G468" s="1">
        <v>0.4</v>
      </c>
      <c r="H468" s="1">
        <v>1</v>
      </c>
      <c r="I468" s="1">
        <v>0.7</v>
      </c>
      <c r="J468" t="s">
        <v>208</v>
      </c>
      <c r="K468" s="3">
        <v>81349.6247332764</v>
      </c>
      <c r="L468" s="4">
        <v>0.0424010566106481</v>
      </c>
      <c r="M468" s="4">
        <v>0.0555071499415603</v>
      </c>
      <c r="N468" s="4">
        <v>-0.0525800429523048</v>
      </c>
      <c r="O468" s="4">
        <v>0.108087192893865</v>
      </c>
      <c r="P468" s="4">
        <v>-0.001605349</v>
      </c>
      <c r="Q468" t="s">
        <v>208</v>
      </c>
      <c r="R468" s="3">
        <v>81349.6247332764</v>
      </c>
      <c r="S468" s="4">
        <v>0.0424010566106481</v>
      </c>
      <c r="T468" s="4">
        <v>0.0555071499415603</v>
      </c>
      <c r="U468" s="4">
        <v>-0.0525800429523048</v>
      </c>
      <c r="V468" s="4">
        <v>0.108087192893865</v>
      </c>
      <c r="W468" s="4">
        <v>-0.001605349</v>
      </c>
    </row>
    <row r="469" spans="1:23" x14ac:dyDescent="0.25">
      <c r="A469">
        <v>65294</v>
      </c>
      <c r="B469" t="s">
        <v>191</v>
      </c>
      <c r="C469" t="s">
        <v>192</v>
      </c>
      <c r="D469">
        <v>9</v>
      </c>
      <c r="E469" s="1">
        <v>0.0335093614978397</v>
      </c>
      <c r="F469" s="1">
        <v>-0.0481993218625589</v>
      </c>
      <c r="G469" s="1">
        <v>1</v>
      </c>
      <c r="H469" s="1">
        <v>0.4</v>
      </c>
      <c r="I469" s="1">
        <v>0.7</v>
      </c>
      <c r="J469" t="s">
        <v>208</v>
      </c>
      <c r="K469" s="3">
        <v>4727.78160446167</v>
      </c>
      <c r="L469" s="4">
        <v>-0.0198935622180749</v>
      </c>
      <c r="M469" s="4">
        <v>0.181525199084717</v>
      </c>
      <c r="N469" s="4">
        <v>-0.0525800429523048</v>
      </c>
      <c r="O469" s="4">
        <v>0.234105242037022</v>
      </c>
      <c r="P469" s="4">
        <v>-0.001605349</v>
      </c>
      <c r="Q469" t="s">
        <v>208</v>
      </c>
      <c r="R469" s="3">
        <v>4727.78160446167</v>
      </c>
      <c r="S469" s="4">
        <v>-0.0198935622180749</v>
      </c>
      <c r="T469" s="4">
        <v>0.181525199084717</v>
      </c>
      <c r="U469" s="4">
        <v>-0.0525800429523048</v>
      </c>
      <c r="V469" s="4">
        <v>0.234105242037022</v>
      </c>
      <c r="W469" s="4">
        <v>-0.001605349</v>
      </c>
    </row>
    <row r="470" spans="1:23" x14ac:dyDescent="0.25">
      <c r="A470">
        <v>68292</v>
      </c>
      <c r="B470" t="s">
        <v>132</v>
      </c>
      <c r="C470" t="s">
        <v>133</v>
      </c>
      <c r="D470">
        <v>9</v>
      </c>
      <c r="E470" s="1">
        <v>0.061510898775754</v>
      </c>
      <c r="F470" s="1">
        <v>0.087544363296311</v>
      </c>
      <c r="G470" s="1">
        <v>0.6</v>
      </c>
      <c r="H470" s="1">
        <v>0.8</v>
      </c>
      <c r="I470" s="1">
        <v>0.7</v>
      </c>
      <c r="J470" t="s">
        <v>208</v>
      </c>
      <c r="K470" s="3">
        <v>4877.60199171448</v>
      </c>
      <c r="L470" s="4">
        <v>0.0240678597863361</v>
      </c>
      <c r="M470" s="4">
        <v>0.0679364215517011</v>
      </c>
      <c r="N470" s="4">
        <v>-0.0525800429523048</v>
      </c>
      <c r="O470" s="4">
        <v>0.120516464504006</v>
      </c>
      <c r="P470" s="4">
        <v>-0.001605349</v>
      </c>
      <c r="Q470" t="s">
        <v>208</v>
      </c>
      <c r="R470" s="3">
        <v>4877.60199171448</v>
      </c>
      <c r="S470" s="4">
        <v>0.0240678597863361</v>
      </c>
      <c r="T470" s="4">
        <v>0.0679364215517011</v>
      </c>
      <c r="U470" s="4">
        <v>-0.0525800429523048</v>
      </c>
      <c r="V470" s="4">
        <v>0.120516464504006</v>
      </c>
      <c r="W470" s="4">
        <v>-0.001605349</v>
      </c>
    </row>
    <row r="471" spans="1:23" x14ac:dyDescent="0.25">
      <c r="A471">
        <v>71271</v>
      </c>
      <c r="B471" t="s">
        <v>93</v>
      </c>
      <c r="C471" t="s">
        <v>94</v>
      </c>
      <c r="D471">
        <v>9</v>
      </c>
      <c r="E471" s="1">
        <v>0.0118272623366297</v>
      </c>
      <c r="F471" s="1">
        <v>-0.032928857997684</v>
      </c>
      <c r="G471" s="1">
        <v>1</v>
      </c>
      <c r="H471" s="1">
        <v>0.4</v>
      </c>
      <c r="I471" s="1">
        <v>0.7</v>
      </c>
      <c r="J471" t="s">
        <v>208</v>
      </c>
      <c r="K471" s="3">
        <v>9290.2839920044</v>
      </c>
      <c r="L471" s="4">
        <v>-0.00910697832725959</v>
      </c>
      <c r="M471" s="4">
        <v>0.163570939954911</v>
      </c>
      <c r="N471" s="4">
        <v>-0.0525800429523048</v>
      </c>
      <c r="O471" s="4">
        <v>0.216150982907215</v>
      </c>
      <c r="P471" s="4">
        <v>-0.001605349</v>
      </c>
      <c r="Q471" t="s">
        <v>208</v>
      </c>
      <c r="R471" s="3">
        <v>9290.2839920044</v>
      </c>
      <c r="S471" s="4">
        <v>-0.00910697832725959</v>
      </c>
      <c r="T471" s="4">
        <v>0.163570939954911</v>
      </c>
      <c r="U471" s="4">
        <v>-0.0525800429523048</v>
      </c>
      <c r="V471" s="4">
        <v>0.216150982907215</v>
      </c>
      <c r="W471" s="4">
        <v>-0.001605349</v>
      </c>
    </row>
    <row r="472" spans="1:23" x14ac:dyDescent="0.25">
      <c r="A472">
        <v>76721</v>
      </c>
      <c r="B472" t="s">
        <v>193</v>
      </c>
      <c r="C472" t="s">
        <v>194</v>
      </c>
      <c r="D472">
        <v>9</v>
      </c>
      <c r="E472" s="1">
        <v>0.0475142175747569</v>
      </c>
      <c r="F472" s="1">
        <v>0.0171580730530254</v>
      </c>
      <c r="G472" s="1">
        <v>0.8</v>
      </c>
      <c r="H472" s="1">
        <v>0.6</v>
      </c>
      <c r="I472" s="1">
        <v>0.7</v>
      </c>
      <c r="J472" t="s">
        <v>208</v>
      </c>
      <c r="K472" s="3">
        <v>2399.94105453491</v>
      </c>
      <c r="L472" s="4">
        <v>-0.00590022493033872</v>
      </c>
      <c r="M472" s="4">
        <v>0.197110787931772</v>
      </c>
      <c r="N472" s="4">
        <v>-0.0525800429523048</v>
      </c>
      <c r="O472" s="4">
        <v>0.249690830884077</v>
      </c>
      <c r="P472" s="4">
        <v>-0.001605349</v>
      </c>
      <c r="Q472" t="s">
        <v>208</v>
      </c>
      <c r="R472" s="3">
        <v>2399.94105453491</v>
      </c>
      <c r="S472" s="4">
        <v>-0.00590022493033872</v>
      </c>
      <c r="T472" s="4">
        <v>0.197110787931772</v>
      </c>
      <c r="U472" s="4">
        <v>-0.0525800429523048</v>
      </c>
      <c r="V472" s="4">
        <v>0.249690830884077</v>
      </c>
      <c r="W472" s="4">
        <v>-0.001605349</v>
      </c>
    </row>
    <row r="473" spans="1:23" x14ac:dyDescent="0.25">
      <c r="A473">
        <v>82486</v>
      </c>
      <c r="B473" t="s">
        <v>47</v>
      </c>
      <c r="C473" t="s">
        <v>48</v>
      </c>
      <c r="D473">
        <v>9</v>
      </c>
      <c r="E473" s="1">
        <v>0.0228420195439739</v>
      </c>
      <c r="F473" s="1">
        <v>-0.0168355177181633</v>
      </c>
      <c r="G473" s="1">
        <v>1</v>
      </c>
      <c r="H473" s="1">
        <v>0.4</v>
      </c>
      <c r="I473" s="1">
        <v>0.7</v>
      </c>
      <c r="J473" t="s">
        <v>208</v>
      </c>
      <c r="K473" s="3">
        <v>8930.64343191528</v>
      </c>
      <c r="L473" s="4">
        <v>0.0238933709226747</v>
      </c>
      <c r="M473" s="4">
        <v>-0.146120631422284</v>
      </c>
      <c r="N473" s="4">
        <v>-0.0525800429523048</v>
      </c>
      <c r="O473" s="4">
        <v>-0.0935405884699795</v>
      </c>
      <c r="P473" s="4">
        <v>-0.001605349</v>
      </c>
      <c r="Q473" t="s">
        <v>208</v>
      </c>
      <c r="R473" s="3">
        <v>8930.64343191528</v>
      </c>
      <c r="S473" s="4">
        <v>0.0238933709226747</v>
      </c>
      <c r="T473" s="4">
        <v>-0.146120631422284</v>
      </c>
      <c r="U473" s="4">
        <v>-0.0525800429523048</v>
      </c>
      <c r="V473" s="4">
        <v>-0.0935405884699795</v>
      </c>
      <c r="W473" s="4">
        <v>-0.001605349</v>
      </c>
    </row>
    <row r="474" spans="1:23" x14ac:dyDescent="0.25">
      <c r="A474">
        <v>82775</v>
      </c>
      <c r="B474" t="s">
        <v>97</v>
      </c>
      <c r="C474" t="s">
        <v>98</v>
      </c>
      <c r="D474">
        <v>9</v>
      </c>
      <c r="E474" s="1">
        <v>0.0977950183748469</v>
      </c>
      <c r="F474" s="1">
        <v>0.198870465299131</v>
      </c>
      <c r="G474" s="1">
        <v>0.4</v>
      </c>
      <c r="H474" s="1">
        <v>1</v>
      </c>
      <c r="I474" s="1">
        <v>0.7</v>
      </c>
      <c r="J474" t="s">
        <v>208</v>
      </c>
      <c r="K474" s="3">
        <v>22135.1267060242</v>
      </c>
      <c r="L474" s="4">
        <v>-0.008056640625</v>
      </c>
      <c r="M474" s="4">
        <v>0.134043329244492</v>
      </c>
      <c r="N474" s="4">
        <v>-0.0525800429523048</v>
      </c>
      <c r="O474" s="4">
        <v>0.186623372196797</v>
      </c>
      <c r="P474" s="4">
        <v>-0.001605349</v>
      </c>
      <c r="Q474" t="s">
        <v>208</v>
      </c>
      <c r="R474" s="3">
        <v>22135.1267060242</v>
      </c>
      <c r="S474" s="4">
        <v>-0.008056640625</v>
      </c>
      <c r="T474" s="4">
        <v>0.134043329244492</v>
      </c>
      <c r="U474" s="4">
        <v>-0.0525800429523048</v>
      </c>
      <c r="V474" s="4">
        <v>0.186623372196797</v>
      </c>
      <c r="W474" s="4">
        <v>-0.001605349</v>
      </c>
    </row>
    <row r="475" spans="1:23" x14ac:dyDescent="0.25">
      <c r="A475">
        <v>89269</v>
      </c>
      <c r="B475" t="s">
        <v>103</v>
      </c>
      <c r="C475" t="s">
        <v>104</v>
      </c>
      <c r="D475">
        <v>9</v>
      </c>
      <c r="E475" s="1">
        <v>0.0528069298683991</v>
      </c>
      <c r="F475" s="1">
        <v>0.0303703707706653</v>
      </c>
      <c r="G475" s="1">
        <v>0.8</v>
      </c>
      <c r="H475" s="1">
        <v>0.6</v>
      </c>
      <c r="I475" s="1">
        <v>0.7</v>
      </c>
      <c r="J475" t="s">
        <v>208</v>
      </c>
      <c r="K475" s="3">
        <v>42498.8637278366</v>
      </c>
      <c r="L475" s="4">
        <v>0.488698937552754</v>
      </c>
      <c r="M475" s="4">
        <v>0.106521790812236</v>
      </c>
      <c r="N475" s="4">
        <v>-0.0525800429523048</v>
      </c>
      <c r="O475" s="4">
        <v>0.159101833764541</v>
      </c>
      <c r="P475" s="4">
        <v>-0.001605349</v>
      </c>
      <c r="Q475" t="s">
        <v>208</v>
      </c>
      <c r="R475" s="3">
        <v>42498.8637278366</v>
      </c>
      <c r="S475" s="4">
        <v>0.488698937552754</v>
      </c>
      <c r="T475" s="4">
        <v>0.106521790812236</v>
      </c>
      <c r="U475" s="4">
        <v>-0.0525800429523048</v>
      </c>
      <c r="V475" s="4">
        <v>0.159101833764541</v>
      </c>
      <c r="W475" s="4">
        <v>-0.001605349</v>
      </c>
    </row>
    <row r="476" spans="1:23" x14ac:dyDescent="0.25">
      <c r="A476">
        <v>89841</v>
      </c>
      <c r="B476" t="s">
        <v>126</v>
      </c>
      <c r="C476" t="s">
        <v>127</v>
      </c>
      <c r="D476">
        <v>9</v>
      </c>
      <c r="E476" s="1">
        <v>0.0953666216824112</v>
      </c>
      <c r="F476" s="1">
        <v>0.251843254689001</v>
      </c>
      <c r="G476" s="1">
        <v>0.4</v>
      </c>
      <c r="H476" s="1">
        <v>1</v>
      </c>
      <c r="I476" s="1">
        <v>0.7</v>
      </c>
      <c r="J476" t="s">
        <v>208</v>
      </c>
      <c r="K476" s="3">
        <v>3107.61265041542</v>
      </c>
      <c r="L476" s="4">
        <v>-0.0484834902136561</v>
      </c>
      <c r="M476" s="4">
        <v>-0.20861476379094</v>
      </c>
      <c r="N476" s="4">
        <v>-0.0525800429523048</v>
      </c>
      <c r="O476" s="4">
        <v>-0.156034720838635</v>
      </c>
      <c r="P476" s="4">
        <v>-0.001605349</v>
      </c>
      <c r="Q476" t="s">
        <v>208</v>
      </c>
      <c r="R476" s="3">
        <v>3107.61265041542</v>
      </c>
      <c r="S476" s="4">
        <v>-0.0484834902136561</v>
      </c>
      <c r="T476" s="4">
        <v>-0.20861476379094</v>
      </c>
      <c r="U476" s="4">
        <v>-0.0525800429523048</v>
      </c>
      <c r="V476" s="4">
        <v>-0.156034720838635</v>
      </c>
      <c r="W476" s="4">
        <v>-0.001605349</v>
      </c>
    </row>
    <row r="477" spans="1:23" x14ac:dyDescent="0.25">
      <c r="A477">
        <v>93330</v>
      </c>
      <c r="B477" t="s">
        <v>138</v>
      </c>
      <c r="C477" t="s">
        <v>139</v>
      </c>
      <c r="D477">
        <v>9</v>
      </c>
      <c r="E477" s="1">
        <v>0.0716792354214888</v>
      </c>
      <c r="F477" s="1">
        <v>0.0783413400583843</v>
      </c>
      <c r="G477" s="1">
        <v>0.6</v>
      </c>
      <c r="H477" s="1">
        <v>0.8</v>
      </c>
      <c r="I477" s="1">
        <v>0.7</v>
      </c>
      <c r="J477" t="s">
        <v>208</v>
      </c>
      <c r="K477" s="3">
        <v>6039.53529592895</v>
      </c>
      <c r="L477" s="4">
        <v>0.0804076386696446</v>
      </c>
      <c r="M477" s="4">
        <v>-0.211617282752815</v>
      </c>
      <c r="N477" s="4">
        <v>-0.0525800429523048</v>
      </c>
      <c r="O477" s="4">
        <v>-0.15903723980051</v>
      </c>
      <c r="P477" s="4">
        <v>-0.001605349</v>
      </c>
      <c r="Q477" t="s">
        <v>208</v>
      </c>
      <c r="R477" s="3">
        <v>6039.53529592895</v>
      </c>
      <c r="S477" s="4">
        <v>0.0804076386696446</v>
      </c>
      <c r="T477" s="4">
        <v>-0.211617282752815</v>
      </c>
      <c r="U477" s="4">
        <v>-0.0525800429523048</v>
      </c>
      <c r="V477" s="4">
        <v>-0.15903723980051</v>
      </c>
      <c r="W477" s="4">
        <v>-0.001605349</v>
      </c>
    </row>
    <row r="478" spans="1:23" x14ac:dyDescent="0.25">
      <c r="A478">
        <v>14318</v>
      </c>
      <c r="B478" t="s">
        <v>161</v>
      </c>
      <c r="C478" t="s">
        <v>162</v>
      </c>
      <c r="D478">
        <v>9</v>
      </c>
      <c r="E478" s="1">
        <v>0.0971302428256071</v>
      </c>
      <c r="F478" s="1">
        <v>0.066641906136179</v>
      </c>
      <c r="G478" s="1">
        <v>0.4</v>
      </c>
      <c r="H478" s="1">
        <v>0.8</v>
      </c>
      <c r="I478" s="1">
        <v>0.6</v>
      </c>
      <c r="J478" t="s">
        <v>208</v>
      </c>
      <c r="K478" s="3">
        <v>1926.60340076828</v>
      </c>
      <c r="L478" s="4">
        <v>0.143918092990224</v>
      </c>
      <c r="M478" s="4">
        <v>-0.23067383043174</v>
      </c>
      <c r="N478" s="4">
        <v>-0.0525800429523048</v>
      </c>
      <c r="O478" s="4">
        <v>-0.178093787479435</v>
      </c>
      <c r="P478" s="4">
        <v>-0.001605349</v>
      </c>
      <c r="Q478" t="s">
        <v>208</v>
      </c>
      <c r="R478" s="3">
        <v>1926.60340076828</v>
      </c>
      <c r="S478" s="4">
        <v>0.143918092990224</v>
      </c>
      <c r="T478" s="4">
        <v>-0.23067383043174</v>
      </c>
      <c r="U478" s="4">
        <v>-0.0525800429523048</v>
      </c>
      <c r="V478" s="4">
        <v>-0.178093787479435</v>
      </c>
      <c r="W478" s="4">
        <v>-0.001605349</v>
      </c>
    </row>
    <row r="479" spans="1:23" x14ac:dyDescent="0.25">
      <c r="A479">
        <v>76804</v>
      </c>
      <c r="B479" t="s">
        <v>107</v>
      </c>
      <c r="C479" t="s">
        <v>108</v>
      </c>
      <c r="D479">
        <v>9</v>
      </c>
      <c r="E479" s="1">
        <v>0.104382470119522</v>
      </c>
      <c r="F479" s="1">
        <v>0.0620795286310248</v>
      </c>
      <c r="G479" s="1">
        <v>0.4</v>
      </c>
      <c r="H479" s="1">
        <v>0.8</v>
      </c>
      <c r="I479" s="1">
        <v>0.6</v>
      </c>
      <c r="J479" t="s">
        <v>208</v>
      </c>
      <c r="K479" s="3">
        <v>4614.69772943878</v>
      </c>
      <c r="L479" s="4">
        <v>-0.0122168706655893</v>
      </c>
      <c r="M479" s="4">
        <v>-0.0327481976494698</v>
      </c>
      <c r="N479" s="4">
        <v>-0.0525800429523048</v>
      </c>
      <c r="O479" s="4">
        <v>0.019831845302835</v>
      </c>
      <c r="P479" s="4">
        <v>-0.001605349</v>
      </c>
      <c r="Q479" t="s">
        <v>208</v>
      </c>
      <c r="R479" s="3">
        <v>4614.69772943878</v>
      </c>
      <c r="S479" s="4">
        <v>-0.0122168706655893</v>
      </c>
      <c r="T479" s="4">
        <v>-0.0327481976494698</v>
      </c>
      <c r="U479" s="4">
        <v>-0.0525800429523048</v>
      </c>
      <c r="V479" s="4">
        <v>0.019831845302835</v>
      </c>
      <c r="W479" s="4">
        <v>-0.001605349</v>
      </c>
    </row>
    <row r="480" spans="1:23" x14ac:dyDescent="0.25">
      <c r="A480">
        <v>79210</v>
      </c>
      <c r="B480" t="s">
        <v>95</v>
      </c>
      <c r="C480" t="s">
        <v>96</v>
      </c>
      <c r="D480">
        <v>9</v>
      </c>
      <c r="E480" s="1">
        <v>0.0547886108714409</v>
      </c>
      <c r="F480" s="1">
        <v>-0.0642454643888454</v>
      </c>
      <c r="G480" s="1">
        <v>0.8</v>
      </c>
      <c r="H480" s="1">
        <v>0.4</v>
      </c>
      <c r="I480" s="1">
        <v>0.6</v>
      </c>
      <c r="J480" t="s">
        <v>208</v>
      </c>
      <c r="K480" s="3">
        <v>7750.29</v>
      </c>
      <c r="L480" s="4">
        <v>0.0257386644101262</v>
      </c>
      <c r="M480" s="4">
        <v>0.0251746791495529</v>
      </c>
      <c r="N480" s="4">
        <v>-0.0525800429523048</v>
      </c>
      <c r="O480" s="4">
        <v>0.0777547221018576</v>
      </c>
      <c r="P480" s="4">
        <v>-0.001605349</v>
      </c>
      <c r="Q480" t="s">
        <v>208</v>
      </c>
      <c r="R480" s="3">
        <v>7750.29</v>
      </c>
      <c r="S480" s="4">
        <v>0.0257386644101262</v>
      </c>
      <c r="T480" s="4">
        <v>0.0251746791495529</v>
      </c>
      <c r="U480" s="4">
        <v>-0.0525800429523048</v>
      </c>
      <c r="V480" s="4">
        <v>0.0777547221018576</v>
      </c>
      <c r="W480" s="4">
        <v>-0.001605349</v>
      </c>
    </row>
    <row r="481" spans="1:23" x14ac:dyDescent="0.25">
      <c r="A481">
        <v>89575</v>
      </c>
      <c r="B481" t="s">
        <v>167</v>
      </c>
      <c r="C481" t="s">
        <v>168</v>
      </c>
      <c r="D481">
        <v>9</v>
      </c>
      <c r="E481" s="1">
        <v>0.118741976893453</v>
      </c>
      <c r="F481" s="1">
        <v>0.0588521839566851</v>
      </c>
      <c r="G481" s="1">
        <v>0.4</v>
      </c>
      <c r="H481" s="1">
        <v>0.8</v>
      </c>
      <c r="I481" s="1">
        <v>0.6</v>
      </c>
      <c r="J481" t="s">
        <v>208</v>
      </c>
      <c r="K481" s="3">
        <v>1172.79094171143</v>
      </c>
      <c r="L481" s="4">
        <v>-0.0415149199784046</v>
      </c>
      <c r="M481" s="4">
        <v>0.138954034937557</v>
      </c>
      <c r="N481" s="4">
        <v>-0.0525800429523048</v>
      </c>
      <c r="O481" s="4">
        <v>0.191534077889861</v>
      </c>
      <c r="P481" s="4">
        <v>-0.001605349</v>
      </c>
      <c r="Q481" t="s">
        <v>208</v>
      </c>
      <c r="R481" s="3">
        <v>1172.79094171143</v>
      </c>
      <c r="S481" s="4">
        <v>-0.0415149199784046</v>
      </c>
      <c r="T481" s="4">
        <v>0.138954034937557</v>
      </c>
      <c r="U481" s="4">
        <v>-0.0525800429523048</v>
      </c>
      <c r="V481" s="4">
        <v>0.191534077889861</v>
      </c>
      <c r="W481" s="4">
        <v>-0.001605349</v>
      </c>
    </row>
    <row r="482" spans="1:23" x14ac:dyDescent="0.25">
      <c r="A482">
        <v>89781</v>
      </c>
      <c r="B482" t="s">
        <v>128</v>
      </c>
      <c r="C482" t="s">
        <v>129</v>
      </c>
      <c r="D482">
        <v>9</v>
      </c>
      <c r="E482" s="1">
        <v>0.0536016550686477</v>
      </c>
      <c r="F482" s="1">
        <v>-0.0547324572815016</v>
      </c>
      <c r="G482" s="1">
        <v>0.8</v>
      </c>
      <c r="H482" s="1">
        <v>0.4</v>
      </c>
      <c r="I482" s="1">
        <v>0.6</v>
      </c>
      <c r="J482" t="s">
        <v>208</v>
      </c>
      <c r="K482" s="3">
        <v>14778.7038574219</v>
      </c>
      <c r="L482" s="4">
        <v>0.154138689167508</v>
      </c>
      <c r="M482" s="4">
        <v>0.154598976150533</v>
      </c>
      <c r="N482" s="4">
        <v>-0.0525800429523048</v>
      </c>
      <c r="O482" s="4">
        <v>0.207179019102837</v>
      </c>
      <c r="P482" s="4">
        <v>-0.001605349</v>
      </c>
      <c r="Q482" t="s">
        <v>208</v>
      </c>
      <c r="R482" s="3">
        <v>14778.7038574219</v>
      </c>
      <c r="S482" s="4">
        <v>0.154138689167508</v>
      </c>
      <c r="T482" s="4">
        <v>0.154598976150533</v>
      </c>
      <c r="U482" s="4">
        <v>-0.0525800429523048</v>
      </c>
      <c r="V482" s="4">
        <v>0.207179019102837</v>
      </c>
      <c r="W482" s="4">
        <v>-0.001605349</v>
      </c>
    </row>
    <row r="483" spans="1:23" x14ac:dyDescent="0.25">
      <c r="A483">
        <v>14625</v>
      </c>
      <c r="B483" t="s">
        <v>163</v>
      </c>
      <c r="C483" t="s">
        <v>164</v>
      </c>
      <c r="D483">
        <v>9</v>
      </c>
      <c r="E483" s="1">
        <v>0.0325765054294176</v>
      </c>
      <c r="F483" s="1">
        <v>-0.0679123365741968</v>
      </c>
      <c r="G483" s="1">
        <v>1</v>
      </c>
      <c r="H483" s="1">
        <v>0.2</v>
      </c>
      <c r="I483" s="1">
        <v>0.6</v>
      </c>
      <c r="J483" t="s">
        <v>208</v>
      </c>
      <c r="K483" s="3">
        <v>239.93969786644</v>
      </c>
      <c r="L483" s="4">
        <v>0.161677760375881</v>
      </c>
      <c r="M483" s="4">
        <v>-0.545309803121239</v>
      </c>
      <c r="N483" s="4">
        <v>-0.0525800429523048</v>
      </c>
      <c r="O483" s="4">
        <v>-0.492729760168934</v>
      </c>
      <c r="P483" s="4">
        <v>-0.001605349</v>
      </c>
      <c r="Q483" t="s">
        <v>208</v>
      </c>
      <c r="R483" s="3">
        <v>239.93969786644</v>
      </c>
      <c r="S483" s="4">
        <v>0.161677760375881</v>
      </c>
      <c r="T483" s="4">
        <v>-0.545309803121239</v>
      </c>
      <c r="U483" s="4">
        <v>-0.0525800429523048</v>
      </c>
      <c r="V483" s="4">
        <v>-0.492729760168934</v>
      </c>
      <c r="W483" s="4">
        <v>-0.001605349</v>
      </c>
    </row>
    <row r="484" spans="1:23" x14ac:dyDescent="0.25">
      <c r="A484">
        <v>23473</v>
      </c>
      <c r="B484" t="s">
        <v>23</v>
      </c>
      <c r="C484" t="s">
        <v>24</v>
      </c>
      <c r="D484">
        <v>9</v>
      </c>
      <c r="E484" s="1">
        <v>0.0864141009499828</v>
      </c>
      <c r="F484" s="1">
        <v>0.00581749255756736</v>
      </c>
      <c r="G484" s="1">
        <v>0.6</v>
      </c>
      <c r="H484" s="1">
        <v>0.6</v>
      </c>
      <c r="I484" s="1">
        <v>0.6</v>
      </c>
      <c r="J484" t="s">
        <v>208</v>
      </c>
      <c r="K484" s="3">
        <v>18787.4824424744</v>
      </c>
      <c r="L484" s="4">
        <v>-0.0489651691065119</v>
      </c>
      <c r="M484" s="4">
        <v>0.0733231346841101</v>
      </c>
      <c r="N484" s="4">
        <v>-0.0525800429523048</v>
      </c>
      <c r="O484" s="4">
        <v>0.125903177636415</v>
      </c>
      <c r="P484" s="4">
        <v>-0.001605349</v>
      </c>
      <c r="Q484" t="s">
        <v>208</v>
      </c>
      <c r="R484" s="3">
        <v>18787.4824424744</v>
      </c>
      <c r="S484" s="4">
        <v>-0.0489651691065119</v>
      </c>
      <c r="T484" s="4">
        <v>0.0733231346841101</v>
      </c>
      <c r="U484" s="4">
        <v>-0.0525800429523048</v>
      </c>
      <c r="V484" s="4">
        <v>0.125903177636415</v>
      </c>
      <c r="W484" s="4">
        <v>-0.001605349</v>
      </c>
    </row>
    <row r="485" spans="1:23" x14ac:dyDescent="0.25">
      <c r="A485">
        <v>59459</v>
      </c>
      <c r="B485" t="s">
        <v>63</v>
      </c>
      <c r="C485" t="s">
        <v>64</v>
      </c>
      <c r="D485">
        <v>9</v>
      </c>
      <c r="E485" s="1">
        <v>0.0752297499465698</v>
      </c>
      <c r="F485" s="1">
        <v>0.0105596039324968</v>
      </c>
      <c r="G485" s="1">
        <v>0.6</v>
      </c>
      <c r="H485" s="1">
        <v>0.6</v>
      </c>
      <c r="I485" s="1">
        <v>0.6</v>
      </c>
      <c r="J485" t="s">
        <v>208</v>
      </c>
      <c r="K485" s="3">
        <v>37652.0666885376</v>
      </c>
      <c r="L485" s="4">
        <v>0.0166294286626237</v>
      </c>
      <c r="M485" s="4">
        <v>0.146093779867545</v>
      </c>
      <c r="N485" s="4">
        <v>-0.0525800429523048</v>
      </c>
      <c r="O485" s="4">
        <v>0.198673822819849</v>
      </c>
      <c r="P485" s="4">
        <v>-0.001605349</v>
      </c>
      <c r="Q485" t="s">
        <v>208</v>
      </c>
      <c r="R485" s="3">
        <v>37652.0666885376</v>
      </c>
      <c r="S485" s="4">
        <v>0.0166294286626237</v>
      </c>
      <c r="T485" s="4">
        <v>0.146093779867545</v>
      </c>
      <c r="U485" s="4">
        <v>-0.0525800429523048</v>
      </c>
      <c r="V485" s="4">
        <v>0.198673822819849</v>
      </c>
      <c r="W485" s="4">
        <v>-0.001605349</v>
      </c>
    </row>
    <row r="486" spans="1:23" x14ac:dyDescent="0.25">
      <c r="A486">
        <v>72980</v>
      </c>
      <c r="B486" t="s">
        <v>151</v>
      </c>
      <c r="C486" t="s">
        <v>152</v>
      </c>
      <c r="D486">
        <v>9</v>
      </c>
      <c r="E486" s="1">
        <v>0.129239040529363</v>
      </c>
      <c r="F486" s="1">
        <v>0.202617268757935</v>
      </c>
      <c r="G486" s="1">
        <v>0.2</v>
      </c>
      <c r="H486" s="1">
        <v>1</v>
      </c>
      <c r="I486" s="1">
        <v>0.6</v>
      </c>
      <c r="J486" t="s">
        <v>208</v>
      </c>
      <c r="K486" s="3">
        <v>1519.91555318069</v>
      </c>
      <c r="L486" s="4">
        <v>0.209145539945854</v>
      </c>
      <c r="M486" s="4">
        <v>-0.0602020947583764</v>
      </c>
      <c r="N486" s="4">
        <v>-0.0525800429523048</v>
      </c>
      <c r="O486" s="4">
        <v>-0.00762205180607156</v>
      </c>
      <c r="P486" s="4">
        <v>-0.001605349</v>
      </c>
      <c r="Q486" t="s">
        <v>208</v>
      </c>
      <c r="R486" s="3">
        <v>1519.91555318069</v>
      </c>
      <c r="S486" s="4">
        <v>0.209145539945854</v>
      </c>
      <c r="T486" s="4">
        <v>-0.0602020947583764</v>
      </c>
      <c r="U486" s="4">
        <v>-0.0525800429523048</v>
      </c>
      <c r="V486" s="4">
        <v>-0.00762205180607156</v>
      </c>
      <c r="W486" s="4">
        <v>-0.001605349</v>
      </c>
    </row>
    <row r="487" spans="1:23" x14ac:dyDescent="0.25">
      <c r="A487">
        <v>10933</v>
      </c>
      <c r="B487" t="s">
        <v>57</v>
      </c>
      <c r="C487" t="s">
        <v>58</v>
      </c>
      <c r="D487">
        <v>9</v>
      </c>
      <c r="E487" s="1">
        <v>0.0538759314816607</v>
      </c>
      <c r="F487" s="1">
        <v>-0.195896182979135</v>
      </c>
      <c r="G487" s="1">
        <v>0.8</v>
      </c>
      <c r="H487" s="1">
        <v>0.2</v>
      </c>
      <c r="I487" s="1">
        <v>0.5</v>
      </c>
      <c r="J487" t="s">
        <v>208</v>
      </c>
      <c r="K487" s="3">
        <v>16326.7556425781</v>
      </c>
      <c r="L487" s="4">
        <v>0.0228604333434888</v>
      </c>
      <c r="M487" s="4">
        <v>0.117455105499717</v>
      </c>
      <c r="N487" s="4">
        <v>-0.0525800429523048</v>
      </c>
      <c r="O487" s="4">
        <v>0.170035148452022</v>
      </c>
      <c r="P487" s="4">
        <v>-0.001605349</v>
      </c>
      <c r="Q487" t="s">
        <v>208</v>
      </c>
      <c r="R487" s="3">
        <v>16326.7556425781</v>
      </c>
      <c r="S487" s="4">
        <v>0.0228604333434888</v>
      </c>
      <c r="T487" s="4">
        <v>0.117455105499717</v>
      </c>
      <c r="U487" s="4">
        <v>-0.0525800429523048</v>
      </c>
      <c r="V487" s="4">
        <v>0.170035148452022</v>
      </c>
      <c r="W487" s="4">
        <v>-0.001605349</v>
      </c>
    </row>
    <row r="488" spans="1:23" x14ac:dyDescent="0.25">
      <c r="A488">
        <v>16638</v>
      </c>
      <c r="B488" t="s">
        <v>199</v>
      </c>
      <c r="C488" t="s">
        <v>200</v>
      </c>
      <c r="D488">
        <v>9</v>
      </c>
      <c r="E488" s="1">
        <v>0.113276492082826</v>
      </c>
      <c r="F488" s="1">
        <v>-0.00288595941018613</v>
      </c>
      <c r="G488" s="1">
        <v>0.4</v>
      </c>
      <c r="H488" s="1">
        <v>0.6</v>
      </c>
      <c r="I488" s="1">
        <v>0.5</v>
      </c>
      <c r="J488" t="s">
        <v>208</v>
      </c>
      <c r="K488" s="3">
        <v>404.951024875641</v>
      </c>
      <c r="L488" s="4">
        <v>0.131391282189535</v>
      </c>
      <c r="M488" s="4">
        <v>-0.123819460828192</v>
      </c>
      <c r="N488" s="4">
        <v>-0.0525800429523048</v>
      </c>
      <c r="O488" s="4">
        <v>-0.0712394178758875</v>
      </c>
      <c r="P488" s="4">
        <v>-0.001605349</v>
      </c>
      <c r="Q488" t="s">
        <v>208</v>
      </c>
      <c r="R488" s="3">
        <v>404.951024875641</v>
      </c>
      <c r="S488" s="4">
        <v>0.131391282189535</v>
      </c>
      <c r="T488" s="4">
        <v>-0.123819460828192</v>
      </c>
      <c r="U488" s="4">
        <v>-0.0525800429523048</v>
      </c>
      <c r="V488" s="4">
        <v>-0.0712394178758875</v>
      </c>
      <c r="W488" s="4">
        <v>-0.001605349</v>
      </c>
    </row>
    <row r="489" spans="1:23" x14ac:dyDescent="0.25">
      <c r="A489">
        <v>49015</v>
      </c>
      <c r="B489" t="s">
        <v>81</v>
      </c>
      <c r="C489" t="s">
        <v>82</v>
      </c>
      <c r="D489">
        <v>9</v>
      </c>
      <c r="E489" s="1">
        <v>0.0512820512820513</v>
      </c>
      <c r="F489" s="1">
        <v>-0.0962851481364856</v>
      </c>
      <c r="G489" s="1">
        <v>0.8</v>
      </c>
      <c r="H489" s="1">
        <v>0.2</v>
      </c>
      <c r="I489" s="1">
        <v>0.5</v>
      </c>
      <c r="J489" t="s">
        <v>208</v>
      </c>
      <c r="K489" s="3">
        <v>11963.0393490486</v>
      </c>
      <c r="L489" s="4">
        <v>0.000348108609886285</v>
      </c>
      <c r="M489" s="4">
        <v>-0.147681428112413</v>
      </c>
      <c r="N489" s="4">
        <v>-0.0525800429523048</v>
      </c>
      <c r="O489" s="4">
        <v>-0.0951013851601086</v>
      </c>
      <c r="P489" s="4">
        <v>-0.001605349</v>
      </c>
      <c r="Q489" t="s">
        <v>208</v>
      </c>
      <c r="R489" s="3">
        <v>11963.0393490486</v>
      </c>
      <c r="S489" s="4">
        <v>0.000348108609886285</v>
      </c>
      <c r="T489" s="4">
        <v>-0.147681428112413</v>
      </c>
      <c r="U489" s="4">
        <v>-0.0525800429523048</v>
      </c>
      <c r="V489" s="4">
        <v>-0.0951013851601086</v>
      </c>
      <c r="W489" s="4">
        <v>-0.001605349</v>
      </c>
    </row>
    <row r="490" spans="1:23" x14ac:dyDescent="0.25">
      <c r="A490">
        <v>62308</v>
      </c>
      <c r="B490" t="s">
        <v>211</v>
      </c>
      <c r="C490" t="s">
        <v>212</v>
      </c>
      <c r="D490">
        <v>9</v>
      </c>
      <c r="E490" s="1">
        <v>0.0726621735467565</v>
      </c>
      <c r="F490" s="1">
        <v>-0.0541029051814829</v>
      </c>
      <c r="G490" s="1">
        <v>0.6</v>
      </c>
      <c r="H490" s="1">
        <v>0.4</v>
      </c>
      <c r="I490" s="1">
        <v>0.5</v>
      </c>
      <c r="J490" t="s">
        <v>208</v>
      </c>
      <c r="K490" s="3">
        <v>9815.79825</v>
      </c>
      <c r="L490" s="4">
        <v>0.0466088367790664</v>
      </c>
      <c r="M490" s="4">
        <v>-0.0666781047697113</v>
      </c>
      <c r="N490" s="4">
        <v>-0.0525800429523048</v>
      </c>
      <c r="O490" s="4">
        <v>-0.0140980618174065</v>
      </c>
      <c r="P490" s="4">
        <v>-0.001605349</v>
      </c>
      <c r="Q490" t="s">
        <v>208</v>
      </c>
      <c r="R490" s="3">
        <v>9815.79825</v>
      </c>
      <c r="S490" s="4">
        <v>0.0466088367790664</v>
      </c>
      <c r="T490" s="4">
        <v>-0.0666781047697113</v>
      </c>
      <c r="U490" s="4">
        <v>-0.0525800429523048</v>
      </c>
      <c r="V490" s="4">
        <v>-0.0140980618174065</v>
      </c>
      <c r="W490" s="4">
        <v>-0.001605349</v>
      </c>
    </row>
    <row r="491" spans="1:23" x14ac:dyDescent="0.25">
      <c r="A491">
        <v>63467</v>
      </c>
      <c r="B491" t="s">
        <v>43</v>
      </c>
      <c r="C491" t="s">
        <v>44</v>
      </c>
      <c r="D491">
        <v>9</v>
      </c>
      <c r="E491" s="1">
        <v>0.0358574140476693</v>
      </c>
      <c r="F491" s="1">
        <v>-0.23881735643666</v>
      </c>
      <c r="G491" s="1">
        <v>0.8</v>
      </c>
      <c r="H491" s="1">
        <v>0.2</v>
      </c>
      <c r="I491" s="1">
        <v>0.5</v>
      </c>
      <c r="J491" t="s">
        <v>208</v>
      </c>
      <c r="K491" s="3">
        <v>14977.4025479736</v>
      </c>
      <c r="L491" s="4">
        <v>0.0924699781077524</v>
      </c>
      <c r="M491" s="4">
        <v>0.137709624952289</v>
      </c>
      <c r="N491" s="4">
        <v>-0.0525800429523048</v>
      </c>
      <c r="O491" s="4">
        <v>0.190289667904594</v>
      </c>
      <c r="P491" s="4">
        <v>-0.001605349</v>
      </c>
      <c r="Q491" t="s">
        <v>208</v>
      </c>
      <c r="R491" s="3">
        <v>14977.4025479736</v>
      </c>
      <c r="S491" s="4">
        <v>0.0924699781077524</v>
      </c>
      <c r="T491" s="4">
        <v>0.137709624952289</v>
      </c>
      <c r="U491" s="4">
        <v>-0.0525800429523048</v>
      </c>
      <c r="V491" s="4">
        <v>0.190289667904594</v>
      </c>
      <c r="W491" s="4">
        <v>-0.001605349</v>
      </c>
    </row>
    <row r="492" spans="1:23" x14ac:dyDescent="0.25">
      <c r="A492">
        <v>76136</v>
      </c>
      <c r="B492" t="s">
        <v>59</v>
      </c>
      <c r="C492" t="s">
        <v>60</v>
      </c>
      <c r="D492">
        <v>9</v>
      </c>
      <c r="E492" s="1">
        <v>0.0812182741116751</v>
      </c>
      <c r="F492" s="1">
        <v>-0.0135232562035079</v>
      </c>
      <c r="G492" s="1">
        <v>0.6</v>
      </c>
      <c r="H492" s="1">
        <v>0.4</v>
      </c>
      <c r="I492" s="1">
        <v>0.5</v>
      </c>
      <c r="J492" t="s">
        <v>208</v>
      </c>
      <c r="K492" s="3">
        <v>4771.50139852142</v>
      </c>
      <c r="L492" s="4">
        <v>0.0193646171948227</v>
      </c>
      <c r="M492" s="4">
        <v>-0.278874653463024</v>
      </c>
      <c r="N492" s="4">
        <v>-0.0525800429523048</v>
      </c>
      <c r="O492" s="4">
        <v>-0.226294610510719</v>
      </c>
      <c r="P492" s="4">
        <v>-0.001605349</v>
      </c>
      <c r="Q492" t="s">
        <v>208</v>
      </c>
      <c r="R492" s="3">
        <v>4771.50139852142</v>
      </c>
      <c r="S492" s="4">
        <v>0.0193646171948227</v>
      </c>
      <c r="T492" s="4">
        <v>-0.278874653463024</v>
      </c>
      <c r="U492" s="4">
        <v>-0.0525800429523048</v>
      </c>
      <c r="V492" s="4">
        <v>-0.226294610510719</v>
      </c>
      <c r="W492" s="4">
        <v>-0.001605349</v>
      </c>
    </row>
    <row r="493" spans="1:23" x14ac:dyDescent="0.25">
      <c r="A493">
        <v>79323</v>
      </c>
      <c r="B493" t="s">
        <v>45</v>
      </c>
      <c r="C493" t="s">
        <v>46</v>
      </c>
      <c r="D493">
        <v>9</v>
      </c>
      <c r="E493" s="1">
        <v>0.159465114163559</v>
      </c>
      <c r="F493" s="1">
        <v>0.0738000899393286</v>
      </c>
      <c r="G493" s="1">
        <v>0.2</v>
      </c>
      <c r="H493" s="1">
        <v>0.8</v>
      </c>
      <c r="I493" s="1">
        <v>0.5</v>
      </c>
      <c r="J493" t="s">
        <v>208</v>
      </c>
      <c r="K493" s="3">
        <v>39045.7798908081</v>
      </c>
      <c r="L493" s="4">
        <v>0.00259653049804141</v>
      </c>
      <c r="M493" s="4">
        <v>0.0274614384517937</v>
      </c>
      <c r="N493" s="4">
        <v>-0.0525800429523048</v>
      </c>
      <c r="O493" s="4">
        <v>0.0800414814040985</v>
      </c>
      <c r="P493" s="4">
        <v>-0.001605349</v>
      </c>
      <c r="Q493" t="s">
        <v>208</v>
      </c>
      <c r="R493" s="3">
        <v>39045.7798908081</v>
      </c>
      <c r="S493" s="4">
        <v>0.00259653049804141</v>
      </c>
      <c r="T493" s="4">
        <v>0.0274614384517937</v>
      </c>
      <c r="U493" s="4">
        <v>-0.0525800429523048</v>
      </c>
      <c r="V493" s="4">
        <v>0.0800414814040985</v>
      </c>
      <c r="W493" s="4">
        <v>-0.001605349</v>
      </c>
    </row>
    <row r="494" spans="1:23" x14ac:dyDescent="0.25">
      <c r="A494">
        <v>92780</v>
      </c>
      <c r="B494" t="s">
        <v>173</v>
      </c>
      <c r="C494" t="s">
        <v>174</v>
      </c>
      <c r="D494">
        <v>9</v>
      </c>
      <c r="E494" s="1">
        <v>0.0678776290630975</v>
      </c>
      <c r="F494" s="1">
        <v>-0.0533591360306682</v>
      </c>
      <c r="G494" s="1">
        <v>0.6</v>
      </c>
      <c r="H494" s="1">
        <v>0.4</v>
      </c>
      <c r="I494" s="1">
        <v>0.5</v>
      </c>
      <c r="J494" t="s">
        <v>208</v>
      </c>
      <c r="K494" s="3">
        <v>843.464692588806</v>
      </c>
      <c r="L494" s="4">
        <v>0.139774878718706</v>
      </c>
      <c r="M494" s="4">
        <v>-0.139697665452002</v>
      </c>
      <c r="N494" s="4">
        <v>-0.0525800429523048</v>
      </c>
      <c r="O494" s="4">
        <v>-0.0871176224996968</v>
      </c>
      <c r="P494" s="4">
        <v>-0.001605349</v>
      </c>
      <c r="Q494" t="s">
        <v>208</v>
      </c>
      <c r="R494" s="3">
        <v>843.464692588806</v>
      </c>
      <c r="S494" s="4">
        <v>0.139774878718706</v>
      </c>
      <c r="T494" s="4">
        <v>-0.139697665452002</v>
      </c>
      <c r="U494" s="4">
        <v>-0.0525800429523048</v>
      </c>
      <c r="V494" s="4">
        <v>-0.0871176224996968</v>
      </c>
      <c r="W494" s="4">
        <v>-0.001605349</v>
      </c>
    </row>
    <row r="495" spans="1:23" x14ac:dyDescent="0.25">
      <c r="A495">
        <v>10901</v>
      </c>
      <c r="B495" t="s">
        <v>186</v>
      </c>
      <c r="C495" t="s">
        <v>187</v>
      </c>
      <c r="D495">
        <v>9</v>
      </c>
      <c r="E495" s="1">
        <v>0.136209150326797</v>
      </c>
      <c r="F495" s="1">
        <v>0.0281287567577871</v>
      </c>
      <c r="G495" s="1">
        <v>0.2</v>
      </c>
      <c r="H495" s="1">
        <v>0.6</v>
      </c>
      <c r="I495" s="1">
        <v>0.4</v>
      </c>
      <c r="J495" t="s">
        <v>208</v>
      </c>
      <c r="K495" s="3">
        <v>330.749229248047</v>
      </c>
      <c r="L495" s="4">
        <v>0.288312933918976</v>
      </c>
      <c r="M495" s="4">
        <v>0.020175651066902</v>
      </c>
      <c r="N495" s="4">
        <v>-0.0525800429523048</v>
      </c>
      <c r="O495" s="4">
        <v>0.0727556940192068</v>
      </c>
      <c r="P495" s="4">
        <v>-0.001605349</v>
      </c>
      <c r="Q495" t="s">
        <v>208</v>
      </c>
      <c r="R495" s="3">
        <v>330.749229248047</v>
      </c>
      <c r="S495" s="4">
        <v>0.288312933918976</v>
      </c>
      <c r="T495" s="4">
        <v>0.020175651066902</v>
      </c>
      <c r="U495" s="4">
        <v>-0.0525800429523048</v>
      </c>
      <c r="V495" s="4">
        <v>0.0727556940192068</v>
      </c>
      <c r="W495" s="4">
        <v>-0.001605349</v>
      </c>
    </row>
    <row r="496" spans="1:23" x14ac:dyDescent="0.25">
      <c r="A496">
        <v>47626</v>
      </c>
      <c r="B496" t="s">
        <v>77</v>
      </c>
      <c r="C496" t="s">
        <v>78</v>
      </c>
      <c r="D496">
        <v>9</v>
      </c>
      <c r="E496" s="1">
        <v>0.0651950718685832</v>
      </c>
      <c r="F496" s="1">
        <v>-0.321541141732025</v>
      </c>
      <c r="G496" s="1">
        <v>0.6</v>
      </c>
      <c r="H496" s="1">
        <v>0.2</v>
      </c>
      <c r="I496" s="1">
        <v>0.4</v>
      </c>
      <c r="J496" t="s">
        <v>208</v>
      </c>
      <c r="K496" s="3">
        <v>12357.6773859673</v>
      </c>
      <c r="L496" s="4">
        <v>0.00944554642486068</v>
      </c>
      <c r="M496" s="4">
        <v>0.0360448277156744</v>
      </c>
      <c r="N496" s="4">
        <v>-0.0525800429523048</v>
      </c>
      <c r="O496" s="4">
        <v>0.0886248706679792</v>
      </c>
      <c r="P496" s="4">
        <v>-0.001605349</v>
      </c>
      <c r="Q496" t="s">
        <v>208</v>
      </c>
      <c r="R496" s="3">
        <v>12357.6773859673</v>
      </c>
      <c r="S496" s="4">
        <v>0.00944554642486068</v>
      </c>
      <c r="T496" s="4">
        <v>0.0360448277156744</v>
      </c>
      <c r="U496" s="4">
        <v>-0.0525800429523048</v>
      </c>
      <c r="V496" s="4">
        <v>0.0886248706679792</v>
      </c>
      <c r="W496" s="4">
        <v>-0.001605349</v>
      </c>
    </row>
    <row r="497" spans="1:23" x14ac:dyDescent="0.25">
      <c r="A497">
        <v>71175</v>
      </c>
      <c r="B497" t="s">
        <v>65</v>
      </c>
      <c r="C497" t="s">
        <v>66</v>
      </c>
      <c r="D497">
        <v>9</v>
      </c>
      <c r="E497" s="1">
        <v>0.169572798605057</v>
      </c>
      <c r="F497" s="1">
        <v>0.0175930966154908</v>
      </c>
      <c r="G497" s="1">
        <v>0.2</v>
      </c>
      <c r="H497" s="1">
        <v>0.6</v>
      </c>
      <c r="I497" s="1">
        <v>0.4</v>
      </c>
      <c r="J497" t="s">
        <v>208</v>
      </c>
      <c r="K497" s="3">
        <v>5800.44432208824</v>
      </c>
      <c r="L497" s="4">
        <v>0.0969365645521516</v>
      </c>
      <c r="M497" s="4">
        <v>0.230049360321651</v>
      </c>
      <c r="N497" s="4">
        <v>-0.0525800429523048</v>
      </c>
      <c r="O497" s="4">
        <v>0.282629403273956</v>
      </c>
      <c r="P497" s="4">
        <v>-0.001605349</v>
      </c>
      <c r="Q497" t="s">
        <v>208</v>
      </c>
      <c r="R497" s="3">
        <v>5800.44432208824</v>
      </c>
      <c r="S497" s="4">
        <v>0.0969365645521516</v>
      </c>
      <c r="T497" s="4">
        <v>0.230049360321651</v>
      </c>
      <c r="U497" s="4">
        <v>-0.0525800429523048</v>
      </c>
      <c r="V497" s="4">
        <v>0.282629403273956</v>
      </c>
      <c r="W497" s="4">
        <v>-0.001605349</v>
      </c>
    </row>
    <row r="498" spans="1:23" x14ac:dyDescent="0.25">
      <c r="A498">
        <v>87212</v>
      </c>
      <c r="B498" t="s">
        <v>49</v>
      </c>
      <c r="C498" t="s">
        <v>50</v>
      </c>
      <c r="D498">
        <v>9</v>
      </c>
      <c r="E498" s="1">
        <v>0.129801324503311</v>
      </c>
      <c r="F498" s="1">
        <v>-0.0107404200843224</v>
      </c>
      <c r="G498" s="1">
        <v>0.2</v>
      </c>
      <c r="H498" s="1">
        <v>0.6</v>
      </c>
      <c r="I498" s="1">
        <v>0.4</v>
      </c>
      <c r="J498" t="s">
        <v>208</v>
      </c>
      <c r="K498" s="3">
        <v>38257.1256816177</v>
      </c>
      <c r="L498" s="4">
        <v>-0.00835345306185687</v>
      </c>
      <c r="M498" s="4">
        <v>-0.06583145645894</v>
      </c>
      <c r="N498" s="4">
        <v>-0.0525800429523048</v>
      </c>
      <c r="O498" s="4">
        <v>-0.0132514135066352</v>
      </c>
      <c r="P498" s="4">
        <v>-0.001605349</v>
      </c>
      <c r="Q498" t="s">
        <v>208</v>
      </c>
      <c r="R498" s="3">
        <v>38257.1256816177</v>
      </c>
      <c r="S498" s="4">
        <v>-0.00835345306185687</v>
      </c>
      <c r="T498" s="4">
        <v>-0.06583145645894</v>
      </c>
      <c r="U498" s="4">
        <v>-0.0525800429523048</v>
      </c>
      <c r="V498" s="4">
        <v>-0.0132514135066352</v>
      </c>
      <c r="W498" s="4">
        <v>-0.001605349</v>
      </c>
    </row>
    <row r="499" spans="1:23" x14ac:dyDescent="0.25">
      <c r="A499">
        <v>88963</v>
      </c>
      <c r="B499" t="s">
        <v>175</v>
      </c>
      <c r="C499" t="s">
        <v>176</v>
      </c>
      <c r="D499">
        <v>9</v>
      </c>
      <c r="E499" s="1">
        <v>0.127931769722815</v>
      </c>
      <c r="F499" s="1">
        <v>-0.000436177645755875</v>
      </c>
      <c r="G499" s="1">
        <v>0.2</v>
      </c>
      <c r="H499" s="1">
        <v>0.6</v>
      </c>
      <c r="I499" s="1">
        <v>0.4</v>
      </c>
      <c r="J499" t="s">
        <v>208</v>
      </c>
      <c r="K499" s="3">
        <v>373.239682182312</v>
      </c>
      <c r="L499" s="4">
        <v>-0.0422800025118297</v>
      </c>
      <c r="M499" s="4">
        <v>0.106543719528098</v>
      </c>
      <c r="N499" s="4">
        <v>-0.0525800429523048</v>
      </c>
      <c r="O499" s="4">
        <v>0.159123762480402</v>
      </c>
      <c r="P499" s="4">
        <v>-0.001605349</v>
      </c>
      <c r="Q499" t="s">
        <v>208</v>
      </c>
      <c r="R499" s="3">
        <v>373.239682182312</v>
      </c>
      <c r="S499" s="4">
        <v>-0.0422800025118297</v>
      </c>
      <c r="T499" s="4">
        <v>0.106543719528098</v>
      </c>
      <c r="U499" s="4">
        <v>-0.0525800429523048</v>
      </c>
      <c r="V499" s="4">
        <v>0.159123762480402</v>
      </c>
      <c r="W499" s="4">
        <v>-0.001605349</v>
      </c>
    </row>
    <row r="500" spans="1:23" x14ac:dyDescent="0.25">
      <c r="A500">
        <v>90162</v>
      </c>
      <c r="B500" t="s">
        <v>69</v>
      </c>
      <c r="C500" t="s">
        <v>70</v>
      </c>
      <c r="D500">
        <v>9</v>
      </c>
      <c r="E500" s="1">
        <v>0.380952380952381</v>
      </c>
      <c r="F500" s="1">
        <v>0.0268133942800587</v>
      </c>
      <c r="G500" s="1">
        <v>0.2</v>
      </c>
      <c r="H500" s="1">
        <v>0.6</v>
      </c>
      <c r="I500" s="1">
        <v>0.4</v>
      </c>
      <c r="J500" t="s">
        <v>208</v>
      </c>
      <c r="K500" s="3">
        <v>1976.5317483325</v>
      </c>
      <c r="L500" s="4">
        <v>0.0559850374064838</v>
      </c>
      <c r="M500" s="4">
        <v>-0.035714187714865</v>
      </c>
      <c r="N500" s="4">
        <v>-0.0525800429523048</v>
      </c>
      <c r="O500" s="4">
        <v>0.0168658552374398</v>
      </c>
      <c r="P500" s="4">
        <v>-0.001605349</v>
      </c>
      <c r="Q500" t="s">
        <v>208</v>
      </c>
      <c r="R500" s="3">
        <v>1976.5317483325</v>
      </c>
      <c r="S500" s="4">
        <v>0.0559850374064838</v>
      </c>
      <c r="T500" s="4">
        <v>-0.035714187714865</v>
      </c>
      <c r="U500" s="4">
        <v>-0.0525800429523048</v>
      </c>
      <c r="V500" s="4">
        <v>0.0168658552374398</v>
      </c>
      <c r="W500" s="4">
        <v>-0.001605349</v>
      </c>
    </row>
    <row r="501" spans="1:23" x14ac:dyDescent="0.25">
      <c r="A501">
        <v>91688</v>
      </c>
      <c r="B501" t="s">
        <v>171</v>
      </c>
      <c r="C501" t="s">
        <v>172</v>
      </c>
      <c r="D501">
        <v>9</v>
      </c>
      <c r="E501" s="1">
        <v>0.12457284871078</v>
      </c>
      <c r="F501" s="1">
        <v>-0.0116619635285963</v>
      </c>
      <c r="G501" s="1">
        <v>0.2</v>
      </c>
      <c r="H501" s="1">
        <v>0.6</v>
      </c>
      <c r="I501" s="1">
        <v>0.4</v>
      </c>
      <c r="J501" t="s">
        <v>208</v>
      </c>
      <c r="K501" s="3">
        <v>1220.74157823944</v>
      </c>
      <c r="L501" s="4">
        <v>-0.148941260916378</v>
      </c>
      <c r="M501" s="4">
        <v>0.0304511940913217</v>
      </c>
      <c r="N501" s="4">
        <v>-0.0525800429523048</v>
      </c>
      <c r="O501" s="4">
        <v>0.0830312370436265</v>
      </c>
      <c r="P501" s="4">
        <v>-0.001605349</v>
      </c>
      <c r="Q501" t="s">
        <v>208</v>
      </c>
      <c r="R501" s="3">
        <v>1220.74157823944</v>
      </c>
      <c r="S501" s="4">
        <v>-0.148941260916378</v>
      </c>
      <c r="T501" s="4">
        <v>0.0304511940913217</v>
      </c>
      <c r="U501" s="4">
        <v>-0.0525800429523048</v>
      </c>
      <c r="V501" s="4">
        <v>0.0830312370436265</v>
      </c>
      <c r="W501" s="4">
        <v>-0.001605349</v>
      </c>
    </row>
    <row r="502" spans="1:23" x14ac:dyDescent="0.25">
      <c r="A502">
        <v>93374</v>
      </c>
      <c r="B502" t="s">
        <v>134</v>
      </c>
      <c r="C502" t="s">
        <v>135</v>
      </c>
      <c r="D502">
        <v>9</v>
      </c>
      <c r="E502" s="1">
        <v>0.119697850087159</v>
      </c>
      <c r="F502" s="1">
        <v>-0.0324307604240085</v>
      </c>
      <c r="G502" s="1">
        <v>0.4</v>
      </c>
      <c r="H502" s="1">
        <v>0.4</v>
      </c>
      <c r="I502" s="1">
        <v>0.4</v>
      </c>
      <c r="J502" t="s">
        <v>208</v>
      </c>
      <c r="K502" s="3">
        <v>6842.35118254852</v>
      </c>
      <c r="L502" s="4">
        <v>0.14223132730301</v>
      </c>
      <c r="M502" s="4">
        <v>-0.0298668068589858</v>
      </c>
      <c r="N502" s="4">
        <v>-0.0525800429523048</v>
      </c>
      <c r="O502" s="4">
        <v>0.022713236093319</v>
      </c>
      <c r="P502" s="4">
        <v>-0.001605349</v>
      </c>
      <c r="Q502" t="s">
        <v>208</v>
      </c>
      <c r="R502" s="3">
        <v>6842.35118254852</v>
      </c>
      <c r="S502" s="4">
        <v>0.14223132730301</v>
      </c>
      <c r="T502" s="4">
        <v>-0.0298668068589858</v>
      </c>
      <c r="U502" s="4">
        <v>-0.0525800429523048</v>
      </c>
      <c r="V502" s="4">
        <v>0.022713236093319</v>
      </c>
      <c r="W502" s="4">
        <v>-0.001605349</v>
      </c>
    </row>
    <row r="503" spans="1:23" x14ac:dyDescent="0.25">
      <c r="A503">
        <v>52936</v>
      </c>
      <c r="B503" t="s">
        <v>29</v>
      </c>
      <c r="C503" t="s">
        <v>30</v>
      </c>
      <c r="D503">
        <v>9</v>
      </c>
      <c r="E503" s="1">
        <v>0.129668645853285</v>
      </c>
      <c r="F503" s="1">
        <v>-0.0169349412596221</v>
      </c>
      <c r="G503" s="1">
        <v>0.2</v>
      </c>
      <c r="H503" s="1">
        <v>0.4</v>
      </c>
      <c r="I503" s="1">
        <v>0.3</v>
      </c>
      <c r="J503" t="s">
        <v>208</v>
      </c>
      <c r="K503" s="3">
        <v>3596.34628102112</v>
      </c>
      <c r="L503" s="4">
        <v>-0.0150657114780802</v>
      </c>
      <c r="M503" s="4">
        <v>-0.195431786324341</v>
      </c>
      <c r="N503" s="4">
        <v>-0.0525800429523048</v>
      </c>
      <c r="O503" s="4">
        <v>-0.142851743372036</v>
      </c>
      <c r="P503" s="4">
        <v>-0.001605349</v>
      </c>
      <c r="Q503" t="s">
        <v>208</v>
      </c>
      <c r="R503" s="3">
        <v>3596.34628102112</v>
      </c>
      <c r="S503" s="4">
        <v>-0.0150657114780802</v>
      </c>
      <c r="T503" s="4">
        <v>-0.195431786324341</v>
      </c>
      <c r="U503" s="4">
        <v>-0.0525800429523048</v>
      </c>
      <c r="V503" s="4">
        <v>-0.142851743372036</v>
      </c>
      <c r="W503" s="4">
        <v>-0.001605349</v>
      </c>
    </row>
    <row r="504" spans="1:23" x14ac:dyDescent="0.25">
      <c r="A504">
        <v>59396</v>
      </c>
      <c r="B504" t="s">
        <v>100</v>
      </c>
      <c r="C504" t="s">
        <v>101</v>
      </c>
      <c r="D504">
        <v>9</v>
      </c>
      <c r="E504" s="1">
        <v>0.0948756976154236</v>
      </c>
      <c r="F504" s="1">
        <v>-0.249792771361277</v>
      </c>
      <c r="G504" s="1">
        <v>0.4</v>
      </c>
      <c r="H504" s="1">
        <v>0.2</v>
      </c>
      <c r="I504" s="1">
        <v>0.3</v>
      </c>
      <c r="J504" t="s">
        <v>208</v>
      </c>
      <c r="K504" s="3">
        <v>7591.32245349884</v>
      </c>
      <c r="L504" s="4">
        <v>-0.00662628054950999</v>
      </c>
      <c r="M504" s="4">
        <v>0.0044936901154784</v>
      </c>
      <c r="N504" s="4">
        <v>-0.0525800429523048</v>
      </c>
      <c r="O504" s="4">
        <v>0.0570737330677832</v>
      </c>
      <c r="P504" s="4">
        <v>-0.001605349</v>
      </c>
      <c r="Q504" t="s">
        <v>208</v>
      </c>
      <c r="R504" s="3">
        <v>7591.32245349884</v>
      </c>
      <c r="S504" s="4">
        <v>-0.00662628054950999</v>
      </c>
      <c r="T504" s="4">
        <v>0.0044936901154784</v>
      </c>
      <c r="U504" s="4">
        <v>-0.0525800429523048</v>
      </c>
      <c r="V504" s="4">
        <v>0.0570737330677832</v>
      </c>
      <c r="W504" s="4">
        <v>-0.001605349</v>
      </c>
    </row>
    <row r="505" spans="1:23" x14ac:dyDescent="0.25">
      <c r="A505">
        <v>60687</v>
      </c>
      <c r="B505" t="s">
        <v>83</v>
      </c>
      <c r="C505" t="s">
        <v>84</v>
      </c>
      <c r="D505">
        <v>9</v>
      </c>
      <c r="E505" s="1">
        <v>0.0941565852545081</v>
      </c>
      <c r="F505" s="1">
        <v>-0.225389823921247</v>
      </c>
      <c r="G505" s="1">
        <v>0.4</v>
      </c>
      <c r="H505" s="1">
        <v>0.2</v>
      </c>
      <c r="I505" s="1">
        <v>0.3</v>
      </c>
      <c r="J505" t="s">
        <v>208</v>
      </c>
      <c r="K505" s="3">
        <v>10613.6721038818</v>
      </c>
      <c r="L505" s="4">
        <v>-0.0336508722009155</v>
      </c>
      <c r="M505" s="4">
        <v>0.40838190469378</v>
      </c>
      <c r="N505" s="4">
        <v>-0.0525800429523048</v>
      </c>
      <c r="O505" s="4">
        <v>0.460961947646085</v>
      </c>
      <c r="P505" s="4">
        <v>-0.001605349</v>
      </c>
      <c r="Q505" t="s">
        <v>208</v>
      </c>
      <c r="R505" s="3">
        <v>10613.6721038818</v>
      </c>
      <c r="S505" s="4">
        <v>-0.0336508722009155</v>
      </c>
      <c r="T505" s="4">
        <v>0.40838190469378</v>
      </c>
      <c r="U505" s="4">
        <v>-0.0525800429523048</v>
      </c>
      <c r="V505" s="4">
        <v>0.460961947646085</v>
      </c>
      <c r="W505" s="4">
        <v>-0.001605349</v>
      </c>
    </row>
    <row r="506" spans="1:23" x14ac:dyDescent="0.25">
      <c r="A506">
        <v>64390</v>
      </c>
      <c r="B506" t="s">
        <v>16</v>
      </c>
      <c r="C506" t="s">
        <v>17</v>
      </c>
      <c r="D506">
        <v>9</v>
      </c>
      <c r="E506" s="1">
        <v>0.0981998381877023</v>
      </c>
      <c r="F506" s="1">
        <v>-0.0747533870562402</v>
      </c>
      <c r="G506" s="1">
        <v>0.4</v>
      </c>
      <c r="H506" s="1">
        <v>0.2</v>
      </c>
      <c r="I506" s="1">
        <v>0.3</v>
      </c>
      <c r="J506" t="s">
        <v>208</v>
      </c>
      <c r="K506" s="3">
        <v>57482.3124641418</v>
      </c>
      <c r="L506" s="4">
        <v>0.0933490949466251</v>
      </c>
      <c r="M506" s="4">
        <v>0.227335638337116</v>
      </c>
      <c r="N506" s="4">
        <v>-0.0525800429523048</v>
      </c>
      <c r="O506" s="4">
        <v>0.27991568128942</v>
      </c>
      <c r="P506" s="4">
        <v>-0.001605349</v>
      </c>
      <c r="Q506" t="s">
        <v>208</v>
      </c>
      <c r="R506" s="3">
        <v>57482.3124641418</v>
      </c>
      <c r="S506" s="4">
        <v>0.0933490949466251</v>
      </c>
      <c r="T506" s="4">
        <v>0.227335638337116</v>
      </c>
      <c r="U506" s="4">
        <v>-0.0525800429523048</v>
      </c>
      <c r="V506" s="4">
        <v>0.27991568128942</v>
      </c>
      <c r="W506" s="4">
        <v>-0.001605349</v>
      </c>
    </row>
    <row r="507" spans="1:23" x14ac:dyDescent="0.25">
      <c r="A507">
        <v>78038</v>
      </c>
      <c r="B507" t="s">
        <v>109</v>
      </c>
      <c r="C507" t="s">
        <v>110</v>
      </c>
      <c r="D507">
        <v>9</v>
      </c>
      <c r="E507" s="1">
        <v>0.0992592592592593</v>
      </c>
      <c r="F507" s="1">
        <v>-0.0908359956049769</v>
      </c>
      <c r="G507" s="1">
        <v>0.4</v>
      </c>
      <c r="H507" s="1">
        <v>0.2</v>
      </c>
      <c r="I507" s="1">
        <v>0.3</v>
      </c>
      <c r="J507" t="s">
        <v>208</v>
      </c>
      <c r="K507" s="3">
        <v>4256.80325</v>
      </c>
      <c r="L507" s="4">
        <v>-0.0578523925066554</v>
      </c>
      <c r="M507" s="4">
        <v>-0.0504186764501292</v>
      </c>
      <c r="N507" s="4">
        <v>-0.0525800429523048</v>
      </c>
      <c r="O507" s="4">
        <v>0.00216136650217558</v>
      </c>
      <c r="P507" s="4">
        <v>-0.001605349</v>
      </c>
      <c r="Q507" t="s">
        <v>208</v>
      </c>
      <c r="R507" s="3">
        <v>4256.80325</v>
      </c>
      <c r="S507" s="4">
        <v>-0.0578523925066554</v>
      </c>
      <c r="T507" s="4">
        <v>-0.0504186764501292</v>
      </c>
      <c r="U507" s="4">
        <v>-0.0525800429523048</v>
      </c>
      <c r="V507" s="4">
        <v>0.00216136650217558</v>
      </c>
      <c r="W507" s="4">
        <v>-0.001605349</v>
      </c>
    </row>
    <row r="508" spans="1:23" x14ac:dyDescent="0.25">
      <c r="A508">
        <v>56822</v>
      </c>
      <c r="B508" t="s">
        <v>177</v>
      </c>
      <c r="C508" t="s">
        <v>178</v>
      </c>
      <c r="D508">
        <v>9</v>
      </c>
      <c r="E508" s="1">
        <v>0.12298973067235</v>
      </c>
      <c r="F508" s="1">
        <v>-0.265626580269514</v>
      </c>
      <c r="G508" s="1">
        <v>0.2</v>
      </c>
      <c r="H508" s="1">
        <v>0.2</v>
      </c>
      <c r="I508" s="1">
        <v>0.2</v>
      </c>
      <c r="J508" t="s">
        <v>208</v>
      </c>
      <c r="K508" s="3">
        <v>771.004037902832</v>
      </c>
      <c r="L508" s="4">
        <v>-0.157040874622187</v>
      </c>
      <c r="M508" s="4">
        <v>-0.145132594045566</v>
      </c>
      <c r="N508" s="4">
        <v>-0.0525800429523048</v>
      </c>
      <c r="O508" s="4">
        <v>-0.0925525510932612</v>
      </c>
      <c r="P508" s="4">
        <v>-0.001605349</v>
      </c>
      <c r="Q508" t="s">
        <v>208</v>
      </c>
      <c r="R508" s="3">
        <v>771.004037902832</v>
      </c>
      <c r="S508" s="4">
        <v>-0.157040874622187</v>
      </c>
      <c r="T508" s="4">
        <v>-0.145132594045566</v>
      </c>
      <c r="U508" s="4">
        <v>-0.0525800429523048</v>
      </c>
      <c r="V508" s="4">
        <v>-0.0925525510932612</v>
      </c>
      <c r="W508" s="4">
        <v>-0.001605349</v>
      </c>
    </row>
    <row r="509" spans="1:23" x14ac:dyDescent="0.25">
      <c r="A509">
        <v>57904</v>
      </c>
      <c r="B509" t="s">
        <v>41</v>
      </c>
      <c r="C509" t="s">
        <v>42</v>
      </c>
      <c r="D509">
        <v>9</v>
      </c>
      <c r="E509" s="1">
        <v>0.150438497863728</v>
      </c>
      <c r="F509" s="1">
        <v>-0.125658863191182</v>
      </c>
      <c r="G509" s="1">
        <v>0.2</v>
      </c>
      <c r="H509" s="1">
        <v>0.2</v>
      </c>
      <c r="I509" s="1">
        <v>0.2</v>
      </c>
      <c r="J509" t="s">
        <v>208</v>
      </c>
      <c r="K509" s="3">
        <v>36470.931116291</v>
      </c>
      <c r="L509" s="4">
        <v>0.0154678349501542</v>
      </c>
      <c r="M509" s="4">
        <v>0.0956732106935756</v>
      </c>
      <c r="N509" s="4">
        <v>-0.0525800429523048</v>
      </c>
      <c r="O509" s="4">
        <v>0.14825325364588</v>
      </c>
      <c r="P509" s="4">
        <v>-0.001605349</v>
      </c>
      <c r="Q509" t="s">
        <v>208</v>
      </c>
      <c r="R509" s="3">
        <v>36470.931116291</v>
      </c>
      <c r="S509" s="4">
        <v>0.0154678349501542</v>
      </c>
      <c r="T509" s="4">
        <v>0.0956732106935756</v>
      </c>
      <c r="U509" s="4">
        <v>-0.0525800429523048</v>
      </c>
      <c r="V509" s="4">
        <v>0.14825325364588</v>
      </c>
      <c r="W509" s="4">
        <v>-0.001605349</v>
      </c>
    </row>
    <row r="510" spans="1:23" x14ac:dyDescent="0.25">
      <c r="A510">
        <v>87842</v>
      </c>
      <c r="B510" t="s">
        <v>51</v>
      </c>
      <c r="C510" t="s">
        <v>52</v>
      </c>
      <c r="D510">
        <v>9</v>
      </c>
      <c r="E510" s="1">
        <v>0.121831735889244</v>
      </c>
      <c r="F510" s="1">
        <v>-0.126235723201412</v>
      </c>
      <c r="G510" s="1">
        <v>0.2</v>
      </c>
      <c r="H510" s="1">
        <v>0.2</v>
      </c>
      <c r="I510" s="1">
        <v>0.2</v>
      </c>
      <c r="J510" t="s">
        <v>208</v>
      </c>
      <c r="K510" s="3">
        <v>52393.5864142227</v>
      </c>
      <c r="L510" s="4">
        <v>-0.0382398485891259</v>
      </c>
      <c r="M510" s="4">
        <v>0.0628144909567456</v>
      </c>
      <c r="N510" s="4">
        <v>-0.0525800429523048</v>
      </c>
      <c r="O510" s="4">
        <v>0.11539453390905</v>
      </c>
      <c r="P510" s="4">
        <v>-0.001605349</v>
      </c>
      <c r="Q510" t="s">
        <v>208</v>
      </c>
      <c r="R510" s="3">
        <v>52393.5864142227</v>
      </c>
      <c r="S510" s="4">
        <v>-0.0382398485891259</v>
      </c>
      <c r="T510" s="4">
        <v>0.0628144909567456</v>
      </c>
      <c r="U510" s="4">
        <v>-0.0525800429523048</v>
      </c>
      <c r="V510" s="4">
        <v>0.11539453390905</v>
      </c>
      <c r="W510" s="4">
        <v>-0.001605349</v>
      </c>
    </row>
    <row r="511" spans="1:23" x14ac:dyDescent="0.25">
      <c r="A511">
        <v>90925</v>
      </c>
      <c r="B511" t="s">
        <v>105</v>
      </c>
      <c r="C511" t="s">
        <v>106</v>
      </c>
      <c r="D511">
        <v>9</v>
      </c>
      <c r="E511" s="1">
        <v>0.130723970324891</v>
      </c>
      <c r="F511" s="1">
        <v>-0.0906576258095586</v>
      </c>
      <c r="G511" s="1">
        <v>0.2</v>
      </c>
      <c r="H511" s="1">
        <v>0.2</v>
      </c>
      <c r="I511" s="1">
        <v>0.2</v>
      </c>
      <c r="J511" t="s">
        <v>208</v>
      </c>
      <c r="K511" s="3">
        <v>12562.2431153641</v>
      </c>
      <c r="L511" s="4">
        <v>0.271440368054736</v>
      </c>
      <c r="M511" s="4">
        <v>-0.0683044786237605</v>
      </c>
      <c r="N511" s="4">
        <v>-0.0525800429523048</v>
      </c>
      <c r="O511" s="4">
        <v>-0.0157244356714558</v>
      </c>
      <c r="P511" s="4">
        <v>-0.001605349</v>
      </c>
      <c r="Q511" t="s">
        <v>208</v>
      </c>
      <c r="R511" s="3">
        <v>12562.2431153641</v>
      </c>
      <c r="S511" s="4">
        <v>0.271440368054736</v>
      </c>
      <c r="T511" s="4">
        <v>-0.0683044786237605</v>
      </c>
      <c r="U511" s="4">
        <v>-0.0525800429523048</v>
      </c>
      <c r="V511" s="4">
        <v>-0.0157244356714558</v>
      </c>
      <c r="W511" s="4">
        <v>-0.001605349</v>
      </c>
    </row>
    <row r="512" spans="1:23" x14ac:dyDescent="0.25">
      <c r="A512">
        <v>93089</v>
      </c>
      <c r="B512" t="s">
        <v>37</v>
      </c>
      <c r="C512" t="s">
        <v>38</v>
      </c>
      <c r="D512">
        <v>10</v>
      </c>
      <c r="E512" s="1">
        <v>0.0180125038254711</v>
      </c>
      <c r="F512" s="1">
        <v>0.234835871823653</v>
      </c>
      <c r="G512" s="1">
        <v>1</v>
      </c>
      <c r="H512" s="1">
        <v>1</v>
      </c>
      <c r="I512" s="1">
        <v>1</v>
      </c>
      <c r="J512" t="s">
        <v>213</v>
      </c>
      <c r="K512" s="3">
        <v>27392.7035504456</v>
      </c>
      <c r="L512" s="4">
        <v>0.0768512533218416</v>
      </c>
      <c r="M512" s="4">
        <v>0.261595190789758</v>
      </c>
      <c r="N512" s="4">
        <v>0.0106031091626513</v>
      </c>
      <c r="O512" s="4">
        <v>0.250992081627107</v>
      </c>
      <c r="P512" s="4">
        <v>-0.01137352</v>
      </c>
      <c r="Q512" t="s">
        <v>213</v>
      </c>
      <c r="R512" s="3">
        <v>27392.7035504456</v>
      </c>
      <c r="S512" s="4">
        <v>0.0768512533218416</v>
      </c>
      <c r="T512" s="4">
        <v>0.261595190789758</v>
      </c>
      <c r="U512" s="4">
        <v>0.0106031091626513</v>
      </c>
      <c r="V512" s="4">
        <v>0.250992081627107</v>
      </c>
      <c r="W512" s="4">
        <v>-0.01137352</v>
      </c>
    </row>
    <row r="513" spans="1:23" x14ac:dyDescent="0.25">
      <c r="A513">
        <v>16638</v>
      </c>
      <c r="B513" t="s">
        <v>199</v>
      </c>
      <c r="C513" t="s">
        <v>200</v>
      </c>
      <c r="D513">
        <v>10</v>
      </c>
      <c r="E513" s="1">
        <v>0.0206240084611317</v>
      </c>
      <c r="F513" s="1">
        <v>0.0908145538297302</v>
      </c>
      <c r="G513" s="1">
        <v>1</v>
      </c>
      <c r="H513" s="1">
        <v>0.8</v>
      </c>
      <c r="I513" s="1">
        <v>0.9</v>
      </c>
      <c r="J513" t="s">
        <v>213</v>
      </c>
      <c r="K513" s="3">
        <v>348.480306472778</v>
      </c>
      <c r="L513" s="4">
        <v>0.0575048064839385</v>
      </c>
      <c r="M513" s="4">
        <v>-0.179640766725149</v>
      </c>
      <c r="N513" s="4">
        <v>0.0106031091626513</v>
      </c>
      <c r="O513" s="4">
        <v>-0.1902438758878</v>
      </c>
      <c r="P513" s="4">
        <v>-0.01137352</v>
      </c>
      <c r="Q513" t="s">
        <v>213</v>
      </c>
      <c r="R513" s="3">
        <v>348.480306472778</v>
      </c>
      <c r="S513" s="4">
        <v>0.0575048064839385</v>
      </c>
      <c r="T513" s="4">
        <v>-0.179640766725149</v>
      </c>
      <c r="U513" s="4">
        <v>0.0106031091626513</v>
      </c>
      <c r="V513" s="4">
        <v>-0.1902438758878</v>
      </c>
      <c r="W513" s="4">
        <v>-0.01137352</v>
      </c>
    </row>
    <row r="514" spans="1:23" x14ac:dyDescent="0.25">
      <c r="A514">
        <v>48653</v>
      </c>
      <c r="B514" t="s">
        <v>39</v>
      </c>
      <c r="C514" t="s">
        <v>40</v>
      </c>
      <c r="D514">
        <v>10</v>
      </c>
      <c r="E514" s="1">
        <v>0.0491312033803303</v>
      </c>
      <c r="F514" s="1">
        <v>0.197914341092323</v>
      </c>
      <c r="G514" s="1">
        <v>0.8</v>
      </c>
      <c r="H514" s="1">
        <v>1</v>
      </c>
      <c r="I514" s="1">
        <v>0.9</v>
      </c>
      <c r="J514" t="s">
        <v>213</v>
      </c>
      <c r="K514" s="3">
        <v>59207.5794364624</v>
      </c>
      <c r="L514" s="4">
        <v>0.0851514122227158</v>
      </c>
      <c r="M514" s="4">
        <v>0.112264340622182</v>
      </c>
      <c r="N514" s="4">
        <v>0.0106031091626513</v>
      </c>
      <c r="O514" s="4">
        <v>0.101661231459531</v>
      </c>
      <c r="P514" s="4">
        <v>-0.01137352</v>
      </c>
      <c r="Q514" t="s">
        <v>213</v>
      </c>
      <c r="R514" s="3">
        <v>59207.5794364624</v>
      </c>
      <c r="S514" s="4">
        <v>0.0851514122227158</v>
      </c>
      <c r="T514" s="4">
        <v>0.112264340622182</v>
      </c>
      <c r="U514" s="4">
        <v>0.0106031091626513</v>
      </c>
      <c r="V514" s="4">
        <v>0.101661231459531</v>
      </c>
      <c r="W514" s="4">
        <v>-0.01137352</v>
      </c>
    </row>
    <row r="515" spans="1:23" x14ac:dyDescent="0.25">
      <c r="A515">
        <v>64186</v>
      </c>
      <c r="B515" t="s">
        <v>189</v>
      </c>
      <c r="C515" t="s">
        <v>190</v>
      </c>
      <c r="D515">
        <v>10</v>
      </c>
      <c r="E515" s="1">
        <v>0.0691111788529373</v>
      </c>
      <c r="F515" s="1">
        <v>0.120847791171868</v>
      </c>
      <c r="G515" s="1">
        <v>0.8</v>
      </c>
      <c r="H515" s="1">
        <v>1</v>
      </c>
      <c r="I515" s="1">
        <v>0.9</v>
      </c>
      <c r="J515" t="s">
        <v>213</v>
      </c>
      <c r="K515" s="3">
        <v>83607.7774743347</v>
      </c>
      <c r="L515" s="4">
        <v>0.087744045538523</v>
      </c>
      <c r="M515" s="4">
        <v>-0.0625347925502358</v>
      </c>
      <c r="N515" s="4">
        <v>0.0106031091626513</v>
      </c>
      <c r="O515" s="4">
        <v>-0.073137901712887</v>
      </c>
      <c r="P515" s="4">
        <v>-0.01137352</v>
      </c>
      <c r="Q515" t="s">
        <v>213</v>
      </c>
      <c r="R515" s="3">
        <v>83607.7774743347</v>
      </c>
      <c r="S515" s="4">
        <v>0.087744045538523</v>
      </c>
      <c r="T515" s="4">
        <v>-0.0625347925502358</v>
      </c>
      <c r="U515" s="4">
        <v>0.0106031091626513</v>
      </c>
      <c r="V515" s="4">
        <v>-0.073137901712887</v>
      </c>
      <c r="W515" s="4">
        <v>-0.01137352</v>
      </c>
    </row>
    <row r="516" spans="1:23" x14ac:dyDescent="0.25">
      <c r="A516">
        <v>78211</v>
      </c>
      <c r="B516" t="s">
        <v>165</v>
      </c>
      <c r="C516" t="s">
        <v>166</v>
      </c>
      <c r="D516">
        <v>10</v>
      </c>
      <c r="E516" s="1">
        <v>0.0382352941176471</v>
      </c>
      <c r="F516" s="1">
        <v>0.0984070002267005</v>
      </c>
      <c r="G516" s="1">
        <v>0.8</v>
      </c>
      <c r="H516" s="1">
        <v>1</v>
      </c>
      <c r="I516" s="1">
        <v>0.9</v>
      </c>
      <c r="J516" t="s">
        <v>213</v>
      </c>
      <c r="K516" s="3">
        <v>403.226371736527</v>
      </c>
      <c r="L516" s="4">
        <v>0.0457516522646981</v>
      </c>
      <c r="M516" s="4">
        <v>0.181377907822836</v>
      </c>
      <c r="N516" s="4">
        <v>0.0106031091626513</v>
      </c>
      <c r="O516" s="4">
        <v>0.170774798660185</v>
      </c>
      <c r="P516" s="4">
        <v>-0.01137352</v>
      </c>
      <c r="Q516" t="s">
        <v>213</v>
      </c>
      <c r="R516" s="3">
        <v>403.226371736527</v>
      </c>
      <c r="S516" s="4">
        <v>0.0457516522646981</v>
      </c>
      <c r="T516" s="4">
        <v>0.181377907822836</v>
      </c>
      <c r="U516" s="4">
        <v>0.0106031091626513</v>
      </c>
      <c r="V516" s="4">
        <v>0.170774798660185</v>
      </c>
      <c r="W516" s="4">
        <v>-0.01137352</v>
      </c>
    </row>
    <row r="517" spans="1:23" x14ac:dyDescent="0.25">
      <c r="A517">
        <v>89179</v>
      </c>
      <c r="B517" t="s">
        <v>214</v>
      </c>
      <c r="C517" t="s">
        <v>215</v>
      </c>
      <c r="D517">
        <v>10</v>
      </c>
      <c r="E517" s="1">
        <v>0.0540190706303663</v>
      </c>
      <c r="F517" s="1">
        <v>0.265701437452641</v>
      </c>
      <c r="G517" s="1">
        <v>0.8</v>
      </c>
      <c r="H517" s="1">
        <v>1</v>
      </c>
      <c r="I517" s="1">
        <v>0.9</v>
      </c>
      <c r="J517" t="s">
        <v>213</v>
      </c>
      <c r="K517" s="3">
        <v>116342.796062775</v>
      </c>
      <c r="L517" s="4">
        <v>0.137625444131717</v>
      </c>
      <c r="M517" s="4">
        <v>-0.111380168039369</v>
      </c>
      <c r="N517" s="4">
        <v>0.0106031091626513</v>
      </c>
      <c r="O517" s="4">
        <v>-0.12198327720202</v>
      </c>
      <c r="P517" s="4">
        <v>-0.01137352</v>
      </c>
      <c r="Q517" t="s">
        <v>213</v>
      </c>
      <c r="R517" s="3">
        <v>116342.796062775</v>
      </c>
      <c r="S517" s="4">
        <v>0.137625444131717</v>
      </c>
      <c r="T517" s="4">
        <v>-0.111380168039369</v>
      </c>
      <c r="U517" s="4">
        <v>0.0106031091626513</v>
      </c>
      <c r="V517" s="4">
        <v>-0.12198327720202</v>
      </c>
      <c r="W517" s="4">
        <v>-0.01137352</v>
      </c>
    </row>
    <row r="518" spans="1:23" x14ac:dyDescent="0.25">
      <c r="A518">
        <v>89269</v>
      </c>
      <c r="B518" t="s">
        <v>103</v>
      </c>
      <c r="C518" t="s">
        <v>104</v>
      </c>
      <c r="D518">
        <v>10</v>
      </c>
      <c r="E518" s="1">
        <v>0.0280339805825243</v>
      </c>
      <c r="F518" s="1">
        <v>0.0827436094945335</v>
      </c>
      <c r="G518" s="1">
        <v>1</v>
      </c>
      <c r="H518" s="1">
        <v>0.8</v>
      </c>
      <c r="I518" s="1">
        <v>0.9</v>
      </c>
      <c r="J518" t="s">
        <v>213</v>
      </c>
      <c r="K518" s="3">
        <v>49487.2894269867</v>
      </c>
      <c r="L518" s="4">
        <v>0.133798317058903</v>
      </c>
      <c r="M518" s="4">
        <v>-0.233668985614976</v>
      </c>
      <c r="N518" s="4">
        <v>0.0106031091626513</v>
      </c>
      <c r="O518" s="4">
        <v>-0.244272094777628</v>
      </c>
      <c r="P518" s="4">
        <v>-0.01137352</v>
      </c>
      <c r="Q518" t="s">
        <v>213</v>
      </c>
      <c r="R518" s="3">
        <v>49487.2894269867</v>
      </c>
      <c r="S518" s="4">
        <v>0.133798317058903</v>
      </c>
      <c r="T518" s="4">
        <v>-0.233668985614976</v>
      </c>
      <c r="U518" s="4">
        <v>0.0106031091626513</v>
      </c>
      <c r="V518" s="4">
        <v>-0.244272094777628</v>
      </c>
      <c r="W518" s="4">
        <v>-0.01137352</v>
      </c>
    </row>
    <row r="519" spans="1:23" x14ac:dyDescent="0.25">
      <c r="A519">
        <v>90038</v>
      </c>
      <c r="B519" t="s">
        <v>73</v>
      </c>
      <c r="C519" t="s">
        <v>74</v>
      </c>
      <c r="D519">
        <v>10</v>
      </c>
      <c r="E519" s="1">
        <v>0.0660207878865649</v>
      </c>
      <c r="F519" s="1">
        <v>0.161665271306554</v>
      </c>
      <c r="G519" s="1">
        <v>0.8</v>
      </c>
      <c r="H519" s="1">
        <v>1</v>
      </c>
      <c r="I519" s="1">
        <v>0.9</v>
      </c>
      <c r="J519" t="s">
        <v>213</v>
      </c>
      <c r="K519" s="3">
        <v>9348.59258010864</v>
      </c>
      <c r="L519" s="4">
        <v>0.00919285176526539</v>
      </c>
      <c r="M519" s="4">
        <v>-0.306473492033882</v>
      </c>
      <c r="N519" s="4">
        <v>0.0106031091626513</v>
      </c>
      <c r="O519" s="4">
        <v>-0.317076601196534</v>
      </c>
      <c r="P519" s="4">
        <v>-0.01137352</v>
      </c>
      <c r="Q519" t="s">
        <v>213</v>
      </c>
      <c r="R519" s="3">
        <v>9348.59258010864</v>
      </c>
      <c r="S519" s="4">
        <v>0.00919285176526539</v>
      </c>
      <c r="T519" s="4">
        <v>-0.306473492033882</v>
      </c>
      <c r="U519" s="4">
        <v>0.0106031091626513</v>
      </c>
      <c r="V519" s="4">
        <v>-0.317076601196534</v>
      </c>
      <c r="W519" s="4">
        <v>-0.01137352</v>
      </c>
    </row>
    <row r="520" spans="1:23" x14ac:dyDescent="0.25">
      <c r="A520">
        <v>92655</v>
      </c>
      <c r="B520" t="s">
        <v>91</v>
      </c>
      <c r="C520" t="s">
        <v>92</v>
      </c>
      <c r="D520">
        <v>10</v>
      </c>
      <c r="E520" s="1">
        <v>0.0365037638905484</v>
      </c>
      <c r="F520" s="1">
        <v>0.0878019710039537</v>
      </c>
      <c r="G520" s="1">
        <v>1</v>
      </c>
      <c r="H520" s="1">
        <v>0.8</v>
      </c>
      <c r="I520" s="1">
        <v>0.9</v>
      </c>
      <c r="J520" t="s">
        <v>213</v>
      </c>
      <c r="K520" s="3">
        <v>481873.288940918</v>
      </c>
      <c r="L520" s="4">
        <v>0.118440855406178</v>
      </c>
      <c r="M520" s="4">
        <v>-0.0063088304156137</v>
      </c>
      <c r="N520" s="4">
        <v>0.0106031091626513</v>
      </c>
      <c r="O520" s="4">
        <v>-0.016911939578265</v>
      </c>
      <c r="P520" s="4">
        <v>-0.01137352</v>
      </c>
      <c r="Q520" t="s">
        <v>213</v>
      </c>
      <c r="R520" s="3">
        <v>481873.288940918</v>
      </c>
      <c r="S520" s="4">
        <v>0.118440855406178</v>
      </c>
      <c r="T520" s="4">
        <v>-0.0063088304156137</v>
      </c>
      <c r="U520" s="4">
        <v>0.0106031091626513</v>
      </c>
      <c r="V520" s="4">
        <v>-0.016911939578265</v>
      </c>
      <c r="W520" s="4">
        <v>-0.01137352</v>
      </c>
    </row>
    <row r="521" spans="1:23" x14ac:dyDescent="0.25">
      <c r="A521">
        <v>17688</v>
      </c>
      <c r="B521" t="s">
        <v>204</v>
      </c>
      <c r="C521" t="s">
        <v>205</v>
      </c>
      <c r="D521">
        <v>10</v>
      </c>
      <c r="E521" s="1">
        <v>0.00215252152521525</v>
      </c>
      <c r="F521" s="1">
        <v>0.00112569023281223</v>
      </c>
      <c r="G521" s="1">
        <v>1</v>
      </c>
      <c r="H521" s="1">
        <v>0.6</v>
      </c>
      <c r="I521" s="1">
        <v>0.8</v>
      </c>
      <c r="J521" t="s">
        <v>213</v>
      </c>
      <c r="K521" s="3">
        <v>937.787742401123</v>
      </c>
      <c r="L521" s="4">
        <v>0.293110226126788</v>
      </c>
      <c r="M521" s="4">
        <v>0.0656624405132189</v>
      </c>
      <c r="N521" s="4">
        <v>0.0106031091626513</v>
      </c>
      <c r="O521" s="4">
        <v>0.0550593313505676</v>
      </c>
      <c r="P521" s="4">
        <v>-0.01137352</v>
      </c>
      <c r="Q521" t="s">
        <v>213</v>
      </c>
      <c r="R521" s="3">
        <v>937.787742401123</v>
      </c>
      <c r="S521" s="4">
        <v>0.293110226126788</v>
      </c>
      <c r="T521" s="4">
        <v>0.0656624405132189</v>
      </c>
      <c r="U521" s="4">
        <v>0.0106031091626513</v>
      </c>
      <c r="V521" s="4">
        <v>0.0550593313505676</v>
      </c>
      <c r="W521" s="4">
        <v>-0.01137352</v>
      </c>
    </row>
    <row r="522" spans="1:23" x14ac:dyDescent="0.25">
      <c r="A522">
        <v>62308</v>
      </c>
      <c r="B522" t="s">
        <v>211</v>
      </c>
      <c r="C522" t="s">
        <v>212</v>
      </c>
      <c r="D522">
        <v>10</v>
      </c>
      <c r="E522" s="1">
        <v>0.077891591976099</v>
      </c>
      <c r="F522" s="1">
        <v>0.0782753078872829</v>
      </c>
      <c r="G522" s="1">
        <v>0.8</v>
      </c>
      <c r="H522" s="1">
        <v>0.8</v>
      </c>
      <c r="I522" s="1">
        <v>0.8</v>
      </c>
      <c r="J522" t="s">
        <v>213</v>
      </c>
      <c r="K522" s="3">
        <v>9610.54212036133</v>
      </c>
      <c r="L522" s="4">
        <v>0.0809588577108422</v>
      </c>
      <c r="M522" s="4">
        <v>0.0655764878760043</v>
      </c>
      <c r="N522" s="4">
        <v>0.0106031091626513</v>
      </c>
      <c r="O522" s="4">
        <v>0.0549733787133531</v>
      </c>
      <c r="P522" s="4">
        <v>-0.01137352</v>
      </c>
      <c r="Q522" t="s">
        <v>213</v>
      </c>
      <c r="R522" s="3">
        <v>9610.54212036133</v>
      </c>
      <c r="S522" s="4">
        <v>0.0809588577108422</v>
      </c>
      <c r="T522" s="4">
        <v>0.0655764878760043</v>
      </c>
      <c r="U522" s="4">
        <v>0.0106031091626513</v>
      </c>
      <c r="V522" s="4">
        <v>0.0549733787133531</v>
      </c>
      <c r="W522" s="4">
        <v>-0.01137352</v>
      </c>
    </row>
    <row r="523" spans="1:23" x14ac:dyDescent="0.25">
      <c r="A523">
        <v>68292</v>
      </c>
      <c r="B523" t="s">
        <v>132</v>
      </c>
      <c r="C523" t="s">
        <v>133</v>
      </c>
      <c r="D523">
        <v>10</v>
      </c>
      <c r="E523" s="1">
        <v>0.0799365389309251</v>
      </c>
      <c r="F523" s="1">
        <v>0.114135335673783</v>
      </c>
      <c r="G523" s="1">
        <v>0.6</v>
      </c>
      <c r="H523" s="1">
        <v>1</v>
      </c>
      <c r="I523" s="1">
        <v>0.8</v>
      </c>
      <c r="J523" t="s">
        <v>213</v>
      </c>
      <c r="K523" s="3">
        <v>5244.91646728516</v>
      </c>
      <c r="L523" s="4">
        <v>0.126285236741868</v>
      </c>
      <c r="M523" s="4">
        <v>0.23536702951099</v>
      </c>
      <c r="N523" s="4">
        <v>0.0106031091626513</v>
      </c>
      <c r="O523" s="4">
        <v>0.224763920348339</v>
      </c>
      <c r="P523" s="4">
        <v>-0.01137352</v>
      </c>
      <c r="Q523" t="s">
        <v>213</v>
      </c>
      <c r="R523" s="3">
        <v>5244.91646728516</v>
      </c>
      <c r="S523" s="4">
        <v>0.126285236741868</v>
      </c>
      <c r="T523" s="4">
        <v>0.23536702951099</v>
      </c>
      <c r="U523" s="4">
        <v>0.0106031091626513</v>
      </c>
      <c r="V523" s="4">
        <v>0.224763920348339</v>
      </c>
      <c r="W523" s="4">
        <v>-0.01137352</v>
      </c>
    </row>
    <row r="524" spans="1:23" x14ac:dyDescent="0.25">
      <c r="A524">
        <v>76721</v>
      </c>
      <c r="B524" t="s">
        <v>193</v>
      </c>
      <c r="C524" t="s">
        <v>194</v>
      </c>
      <c r="D524">
        <v>10</v>
      </c>
      <c r="E524" s="1">
        <v>0.0252461253533483</v>
      </c>
      <c r="F524" s="1">
        <v>0.0201720237754426</v>
      </c>
      <c r="G524" s="1">
        <v>1</v>
      </c>
      <c r="H524" s="1">
        <v>0.6</v>
      </c>
      <c r="I524" s="1">
        <v>0.8</v>
      </c>
      <c r="J524" t="s">
        <v>213</v>
      </c>
      <c r="K524" s="3">
        <v>2568.09433450317</v>
      </c>
      <c r="L524" s="4">
        <v>-0.0668343957110896</v>
      </c>
      <c r="M524" s="4">
        <v>0.310270832131412</v>
      </c>
      <c r="N524" s="4">
        <v>0.0106031091626513</v>
      </c>
      <c r="O524" s="4">
        <v>0.299667722968761</v>
      </c>
      <c r="P524" s="4">
        <v>-0.01137352</v>
      </c>
      <c r="Q524" t="s">
        <v>213</v>
      </c>
      <c r="R524" s="3">
        <v>2568.09433450317</v>
      </c>
      <c r="S524" s="4">
        <v>-0.0668343957110896</v>
      </c>
      <c r="T524" s="4">
        <v>0.310270832131412</v>
      </c>
      <c r="U524" s="4">
        <v>0.0106031091626513</v>
      </c>
      <c r="V524" s="4">
        <v>0.299667722968761</v>
      </c>
      <c r="W524" s="4">
        <v>-0.01137352</v>
      </c>
    </row>
    <row r="525" spans="1:23" x14ac:dyDescent="0.25">
      <c r="A525">
        <v>77120</v>
      </c>
      <c r="B525" t="s">
        <v>124</v>
      </c>
      <c r="C525" t="s">
        <v>125</v>
      </c>
      <c r="D525">
        <v>10</v>
      </c>
      <c r="E525" s="1">
        <v>0.0878552971576227</v>
      </c>
      <c r="F525" s="1">
        <v>0.131981276044362</v>
      </c>
      <c r="G525" s="1">
        <v>0.6</v>
      </c>
      <c r="H525" s="1">
        <v>1</v>
      </c>
      <c r="I525" s="1">
        <v>0.8</v>
      </c>
      <c r="J525" t="s">
        <v>213</v>
      </c>
      <c r="K525" s="3">
        <v>1590.12182425308</v>
      </c>
      <c r="L525" s="4">
        <v>-0.0374510108649324</v>
      </c>
      <c r="M525" s="4">
        <v>-0.230324484536494</v>
      </c>
      <c r="N525" s="4">
        <v>0.0106031091626513</v>
      </c>
      <c r="O525" s="4">
        <v>-0.240927593699145</v>
      </c>
      <c r="P525" s="4">
        <v>-0.01137352</v>
      </c>
      <c r="Q525" t="s">
        <v>213</v>
      </c>
      <c r="R525" s="3">
        <v>1590.12182425308</v>
      </c>
      <c r="S525" s="4">
        <v>-0.0374510108649324</v>
      </c>
      <c r="T525" s="4">
        <v>-0.230324484536494</v>
      </c>
      <c r="U525" s="4">
        <v>0.0106031091626513</v>
      </c>
      <c r="V525" s="4">
        <v>-0.240927593699145</v>
      </c>
      <c r="W525" s="4">
        <v>-0.01137352</v>
      </c>
    </row>
    <row r="526" spans="1:23" x14ac:dyDescent="0.25">
      <c r="A526">
        <v>82292</v>
      </c>
      <c r="B526" t="s">
        <v>19</v>
      </c>
      <c r="C526" t="s">
        <v>20</v>
      </c>
      <c r="D526">
        <v>10</v>
      </c>
      <c r="E526" s="1">
        <v>0.0892720891194873</v>
      </c>
      <c r="F526" s="1">
        <v>0.123474232145362</v>
      </c>
      <c r="G526" s="1">
        <v>0.6</v>
      </c>
      <c r="H526" s="1">
        <v>1</v>
      </c>
      <c r="I526" s="1">
        <v>0.8</v>
      </c>
      <c r="J526" t="s">
        <v>213</v>
      </c>
      <c r="K526" s="3">
        <v>5205.0375</v>
      </c>
      <c r="L526" s="4">
        <v>0.0762769439812241</v>
      </c>
      <c r="M526" s="4">
        <v>-0.221846122854358</v>
      </c>
      <c r="N526" s="4">
        <v>0.0106031091626513</v>
      </c>
      <c r="O526" s="4">
        <v>-0.23244923201701</v>
      </c>
      <c r="P526" s="4">
        <v>-0.01137352</v>
      </c>
      <c r="Q526" t="s">
        <v>213</v>
      </c>
      <c r="R526" s="3">
        <v>5205.0375</v>
      </c>
      <c r="S526" s="4">
        <v>0.0762769439812241</v>
      </c>
      <c r="T526" s="4">
        <v>-0.221846122854358</v>
      </c>
      <c r="U526" s="4">
        <v>0.0106031091626513</v>
      </c>
      <c r="V526" s="4">
        <v>-0.23244923201701</v>
      </c>
      <c r="W526" s="4">
        <v>-0.01137352</v>
      </c>
    </row>
    <row r="527" spans="1:23" x14ac:dyDescent="0.25">
      <c r="A527">
        <v>82486</v>
      </c>
      <c r="B527" t="s">
        <v>47</v>
      </c>
      <c r="C527" t="s">
        <v>48</v>
      </c>
      <c r="D527">
        <v>10</v>
      </c>
      <c r="E527" s="1">
        <v>0.029585798816568</v>
      </c>
      <c r="F527" s="1">
        <v>0.0378905979734265</v>
      </c>
      <c r="G527" s="1">
        <v>1</v>
      </c>
      <c r="H527" s="1">
        <v>0.6</v>
      </c>
      <c r="I527" s="1">
        <v>0.8</v>
      </c>
      <c r="J527" t="s">
        <v>213</v>
      </c>
      <c r="K527" s="3">
        <v>8877.06402276611</v>
      </c>
      <c r="L527" s="4">
        <v>0.038434229361925</v>
      </c>
      <c r="M527" s="4">
        <v>0.30218073211773</v>
      </c>
      <c r="N527" s="4">
        <v>0.0106031091626513</v>
      </c>
      <c r="O527" s="4">
        <v>0.291577622955078</v>
      </c>
      <c r="P527" s="4">
        <v>-0.01137352</v>
      </c>
      <c r="Q527" t="s">
        <v>213</v>
      </c>
      <c r="R527" s="3">
        <v>8877.06402276611</v>
      </c>
      <c r="S527" s="4">
        <v>0.038434229361925</v>
      </c>
      <c r="T527" s="4">
        <v>0.30218073211773</v>
      </c>
      <c r="U527" s="4">
        <v>0.0106031091626513</v>
      </c>
      <c r="V527" s="4">
        <v>0.291577622955078</v>
      </c>
      <c r="W527" s="4">
        <v>-0.01137352</v>
      </c>
    </row>
    <row r="528" spans="1:23" x14ac:dyDescent="0.25">
      <c r="A528">
        <v>82775</v>
      </c>
      <c r="B528" t="s">
        <v>97</v>
      </c>
      <c r="C528" t="s">
        <v>98</v>
      </c>
      <c r="D528">
        <v>10</v>
      </c>
      <c r="E528" s="1">
        <v>0.0971900347624565</v>
      </c>
      <c r="F528" s="1">
        <v>0.230258943316255</v>
      </c>
      <c r="G528" s="1">
        <v>0.6</v>
      </c>
      <c r="H528" s="1">
        <v>1</v>
      </c>
      <c r="I528" s="1">
        <v>0.8</v>
      </c>
      <c r="J528" t="s">
        <v>213</v>
      </c>
      <c r="K528" s="3">
        <v>21517.6370503616</v>
      </c>
      <c r="L528" s="4">
        <v>0.0698990893428501</v>
      </c>
      <c r="M528" s="4">
        <v>-0.0322845626423371</v>
      </c>
      <c r="N528" s="4">
        <v>0.0106031091626513</v>
      </c>
      <c r="O528" s="4">
        <v>-0.0428876718049884</v>
      </c>
      <c r="P528" s="4">
        <v>-0.01137352</v>
      </c>
      <c r="Q528" t="s">
        <v>213</v>
      </c>
      <c r="R528" s="3">
        <v>21517.6370503616</v>
      </c>
      <c r="S528" s="4">
        <v>0.0698990893428501</v>
      </c>
      <c r="T528" s="4">
        <v>-0.0322845626423371</v>
      </c>
      <c r="U528" s="4">
        <v>0.0106031091626513</v>
      </c>
      <c r="V528" s="4">
        <v>-0.0428876718049884</v>
      </c>
      <c r="W528" s="4">
        <v>-0.01137352</v>
      </c>
    </row>
    <row r="529" spans="1:23" x14ac:dyDescent="0.25">
      <c r="A529">
        <v>89781</v>
      </c>
      <c r="B529" t="s">
        <v>128</v>
      </c>
      <c r="C529" t="s">
        <v>129</v>
      </c>
      <c r="D529">
        <v>10</v>
      </c>
      <c r="E529" s="1">
        <v>0.0358400402414487</v>
      </c>
      <c r="F529" s="1">
        <v>0.0439688866185352</v>
      </c>
      <c r="G529" s="1">
        <v>1</v>
      </c>
      <c r="H529" s="1">
        <v>0.6</v>
      </c>
      <c r="I529" s="1">
        <v>0.8</v>
      </c>
      <c r="J529" t="s">
        <v>213</v>
      </c>
      <c r="K529" s="3">
        <v>16413.1061401367</v>
      </c>
      <c r="L529" s="4">
        <v>0.429799721979097</v>
      </c>
      <c r="M529" s="4">
        <v>-0.0562332267267843</v>
      </c>
      <c r="N529" s="4">
        <v>0.0106031091626513</v>
      </c>
      <c r="O529" s="4">
        <v>-0.0668363358894356</v>
      </c>
      <c r="P529" s="4">
        <v>-0.01137352</v>
      </c>
      <c r="Q529" t="s">
        <v>213</v>
      </c>
      <c r="R529" s="3">
        <v>16413.1061401367</v>
      </c>
      <c r="S529" s="4">
        <v>0.429799721979097</v>
      </c>
      <c r="T529" s="4">
        <v>-0.0562332267267843</v>
      </c>
      <c r="U529" s="4">
        <v>0.0106031091626513</v>
      </c>
      <c r="V529" s="4">
        <v>-0.0668363358894356</v>
      </c>
      <c r="W529" s="4">
        <v>-0.01137352</v>
      </c>
    </row>
    <row r="530" spans="1:23" x14ac:dyDescent="0.25">
      <c r="A530">
        <v>90963</v>
      </c>
      <c r="B530" t="s">
        <v>159</v>
      </c>
      <c r="C530" t="s">
        <v>160</v>
      </c>
      <c r="D530">
        <v>10</v>
      </c>
      <c r="E530" s="1">
        <v>0.0631618056845625</v>
      </c>
      <c r="F530" s="1">
        <v>0.0964448534398655</v>
      </c>
      <c r="G530" s="1">
        <v>0.8</v>
      </c>
      <c r="H530" s="1">
        <v>0.8</v>
      </c>
      <c r="I530" s="1">
        <v>0.8</v>
      </c>
      <c r="J530" t="s">
        <v>213</v>
      </c>
      <c r="K530" s="3">
        <v>1003.63693761063</v>
      </c>
      <c r="L530" s="4">
        <v>-0.069350795488354</v>
      </c>
      <c r="M530" s="4">
        <v>0.118691092751828</v>
      </c>
      <c r="N530" s="4">
        <v>0.0106031091626513</v>
      </c>
      <c r="O530" s="4">
        <v>0.108087983589177</v>
      </c>
      <c r="P530" s="4">
        <v>-0.01137352</v>
      </c>
      <c r="Q530" t="s">
        <v>213</v>
      </c>
      <c r="R530" s="3">
        <v>1003.63693761063</v>
      </c>
      <c r="S530" s="4">
        <v>-0.069350795488354</v>
      </c>
      <c r="T530" s="4">
        <v>0.118691092751828</v>
      </c>
      <c r="U530" s="4">
        <v>0.0106031091626513</v>
      </c>
      <c r="V530" s="4">
        <v>0.108087983589177</v>
      </c>
      <c r="W530" s="4">
        <v>-0.01137352</v>
      </c>
    </row>
    <row r="531" spans="1:23" x14ac:dyDescent="0.25">
      <c r="A531">
        <v>93330</v>
      </c>
      <c r="B531" t="s">
        <v>138</v>
      </c>
      <c r="C531" t="s">
        <v>139</v>
      </c>
      <c r="D531">
        <v>10</v>
      </c>
      <c r="E531" s="1">
        <v>0.0613949239903438</v>
      </c>
      <c r="F531" s="1">
        <v>0.0916308017688473</v>
      </c>
      <c r="G531" s="1">
        <v>0.8</v>
      </c>
      <c r="H531" s="1">
        <v>0.8</v>
      </c>
      <c r="I531" s="1">
        <v>0.8</v>
      </c>
      <c r="J531" t="s">
        <v>213</v>
      </c>
      <c r="K531" s="3">
        <v>4605.79098394775</v>
      </c>
      <c r="L531" s="4">
        <v>0.221953506158398</v>
      </c>
      <c r="M531" s="4">
        <v>0.46637549896147</v>
      </c>
      <c r="N531" s="4">
        <v>0.0106031091626513</v>
      </c>
      <c r="O531" s="4">
        <v>0.455772389798819</v>
      </c>
      <c r="P531" s="4">
        <v>-0.01137352</v>
      </c>
      <c r="Q531" t="s">
        <v>213</v>
      </c>
      <c r="R531" s="3">
        <v>4605.79098394775</v>
      </c>
      <c r="S531" s="4">
        <v>0.221953506158398</v>
      </c>
      <c r="T531" s="4">
        <v>0.46637549896147</v>
      </c>
      <c r="U531" s="4">
        <v>0.0106031091626513</v>
      </c>
      <c r="V531" s="4">
        <v>0.455772389798819</v>
      </c>
      <c r="W531" s="4">
        <v>-0.01137352</v>
      </c>
    </row>
    <row r="532" spans="1:23" x14ac:dyDescent="0.25">
      <c r="A532">
        <v>14318</v>
      </c>
      <c r="B532" t="s">
        <v>161</v>
      </c>
      <c r="C532" t="s">
        <v>162</v>
      </c>
      <c r="D532">
        <v>10</v>
      </c>
      <c r="E532" s="1">
        <v>0.123569794050343</v>
      </c>
      <c r="F532" s="1">
        <v>0.12204897848672</v>
      </c>
      <c r="G532" s="1">
        <v>0.4</v>
      </c>
      <c r="H532" s="1">
        <v>1</v>
      </c>
      <c r="I532" s="1">
        <v>0.7</v>
      </c>
      <c r="J532" t="s">
        <v>213</v>
      </c>
      <c r="K532" s="3">
        <v>1410.27161768913</v>
      </c>
      <c r="L532" s="4">
        <v>0.119526960439251</v>
      </c>
      <c r="M532" s="4">
        <v>0.351423915974879</v>
      </c>
      <c r="N532" s="4">
        <v>0.0106031091626513</v>
      </c>
      <c r="O532" s="4">
        <v>0.340820806812228</v>
      </c>
      <c r="P532" s="4">
        <v>-0.01137352</v>
      </c>
      <c r="Q532" t="s">
        <v>213</v>
      </c>
      <c r="R532" s="3">
        <v>1410.27161768913</v>
      </c>
      <c r="S532" s="4">
        <v>0.119526960439251</v>
      </c>
      <c r="T532" s="4">
        <v>0.351423915974879</v>
      </c>
      <c r="U532" s="4">
        <v>0.0106031091626513</v>
      </c>
      <c r="V532" s="4">
        <v>0.340820806812228</v>
      </c>
      <c r="W532" s="4">
        <v>-0.01137352</v>
      </c>
    </row>
    <row r="533" spans="1:23" x14ac:dyDescent="0.25">
      <c r="A533">
        <v>16171</v>
      </c>
      <c r="B533" t="s">
        <v>180</v>
      </c>
      <c r="C533" t="s">
        <v>181</v>
      </c>
      <c r="D533">
        <v>10</v>
      </c>
      <c r="E533" s="1">
        <v>0.0282903863130018</v>
      </c>
      <c r="F533" s="1">
        <v>-0.0296365851506378</v>
      </c>
      <c r="G533" s="1">
        <v>1</v>
      </c>
      <c r="H533" s="1">
        <v>0.4</v>
      </c>
      <c r="I533" s="1">
        <v>0.7</v>
      </c>
      <c r="J533" t="s">
        <v>213</v>
      </c>
      <c r="K533" s="3">
        <v>5260.59310601807</v>
      </c>
      <c r="L533" s="4">
        <v>0.391168680933971</v>
      </c>
      <c r="M533" s="4">
        <v>0.380464794952306</v>
      </c>
      <c r="N533" s="4">
        <v>0.0106031091626513</v>
      </c>
      <c r="O533" s="4">
        <v>0.369861685789655</v>
      </c>
      <c r="P533" s="4">
        <v>-0.01137352</v>
      </c>
      <c r="Q533" t="s">
        <v>213</v>
      </c>
      <c r="R533" s="3">
        <v>5260.59310601807</v>
      </c>
      <c r="S533" s="4">
        <v>0.391168680933971</v>
      </c>
      <c r="T533" s="4">
        <v>0.380464794952306</v>
      </c>
      <c r="U533" s="4">
        <v>0.0106031091626513</v>
      </c>
      <c r="V533" s="4">
        <v>0.369861685789655</v>
      </c>
      <c r="W533" s="4">
        <v>-0.01137352</v>
      </c>
    </row>
    <row r="534" spans="1:23" x14ac:dyDescent="0.25">
      <c r="A534">
        <v>17743</v>
      </c>
      <c r="B534" t="s">
        <v>75</v>
      </c>
      <c r="C534" t="s">
        <v>76</v>
      </c>
      <c r="D534">
        <v>10</v>
      </c>
      <c r="E534" s="1">
        <v>0.0671197960917587</v>
      </c>
      <c r="F534" s="1">
        <v>0.0271441174439818</v>
      </c>
      <c r="G534" s="1">
        <v>0.8</v>
      </c>
      <c r="H534" s="1">
        <v>0.6</v>
      </c>
      <c r="I534" s="1">
        <v>0.7</v>
      </c>
      <c r="J534" t="s">
        <v>213</v>
      </c>
      <c r="K534" s="3">
        <v>18102.0747465134</v>
      </c>
      <c r="L534" s="4">
        <v>0.148020951009563</v>
      </c>
      <c r="M534" s="4">
        <v>-0.201087720303058</v>
      </c>
      <c r="N534" s="4">
        <v>0.0106031091626513</v>
      </c>
      <c r="O534" s="4">
        <v>-0.21169082946571</v>
      </c>
      <c r="P534" s="4">
        <v>-0.01137352</v>
      </c>
      <c r="Q534" t="s">
        <v>213</v>
      </c>
      <c r="R534" s="3">
        <v>18102.0747465134</v>
      </c>
      <c r="S534" s="4">
        <v>0.148020951009563</v>
      </c>
      <c r="T534" s="4">
        <v>-0.201087720303058</v>
      </c>
      <c r="U534" s="4">
        <v>0.0106031091626513</v>
      </c>
      <c r="V534" s="4">
        <v>-0.21169082946571</v>
      </c>
      <c r="W534" s="4">
        <v>-0.01137352</v>
      </c>
    </row>
    <row r="535" spans="1:23" x14ac:dyDescent="0.25">
      <c r="A535">
        <v>18563</v>
      </c>
      <c r="B535" t="s">
        <v>209</v>
      </c>
      <c r="C535" t="s">
        <v>210</v>
      </c>
      <c r="D535">
        <v>10</v>
      </c>
      <c r="E535" s="1">
        <v>0.0277906438165818</v>
      </c>
      <c r="F535" s="1">
        <v>-0.0380327366136249</v>
      </c>
      <c r="G535" s="1">
        <v>1</v>
      </c>
      <c r="H535" s="1">
        <v>0.4</v>
      </c>
      <c r="I535" s="1">
        <v>0.7</v>
      </c>
      <c r="J535" t="s">
        <v>213</v>
      </c>
      <c r="K535" s="3">
        <v>1624.16803848267</v>
      </c>
      <c r="L535" s="4">
        <v>0.470892718282353</v>
      </c>
      <c r="M535" s="4">
        <v>-0.120514903891645</v>
      </c>
      <c r="N535" s="4">
        <v>0.0106031091626513</v>
      </c>
      <c r="O535" s="4">
        <v>-0.131118013054296</v>
      </c>
      <c r="P535" s="4">
        <v>-0.01137352</v>
      </c>
      <c r="Q535" t="s">
        <v>213</v>
      </c>
      <c r="R535" s="3">
        <v>1624.16803848267</v>
      </c>
      <c r="S535" s="4">
        <v>0.470892718282353</v>
      </c>
      <c r="T535" s="4">
        <v>-0.120514903891645</v>
      </c>
      <c r="U535" s="4">
        <v>0.0106031091626513</v>
      </c>
      <c r="V535" s="4">
        <v>-0.131118013054296</v>
      </c>
      <c r="W535" s="4">
        <v>-0.01137352</v>
      </c>
    </row>
    <row r="536" spans="1:23" x14ac:dyDescent="0.25">
      <c r="A536">
        <v>38093</v>
      </c>
      <c r="B536" t="s">
        <v>25</v>
      </c>
      <c r="C536" t="s">
        <v>26</v>
      </c>
      <c r="D536">
        <v>10</v>
      </c>
      <c r="E536" s="1">
        <v>0.0263452584428597</v>
      </c>
      <c r="F536" s="1">
        <v>-0.0153641214958476</v>
      </c>
      <c r="G536" s="1">
        <v>1</v>
      </c>
      <c r="H536" s="1">
        <v>0.4</v>
      </c>
      <c r="I536" s="1">
        <v>0.7</v>
      </c>
      <c r="J536" t="s">
        <v>213</v>
      </c>
      <c r="K536" s="3">
        <v>34175.4651526794</v>
      </c>
      <c r="L536" s="4">
        <v>0.172168599006225</v>
      </c>
      <c r="M536" s="4">
        <v>0.25158358905328</v>
      </c>
      <c r="N536" s="4">
        <v>0.0106031091626513</v>
      </c>
      <c r="O536" s="4">
        <v>0.240980479890629</v>
      </c>
      <c r="P536" s="4">
        <v>-0.01137352</v>
      </c>
      <c r="Q536" t="s">
        <v>213</v>
      </c>
      <c r="R536" s="3">
        <v>34175.4651526794</v>
      </c>
      <c r="S536" s="4">
        <v>0.172168599006225</v>
      </c>
      <c r="T536" s="4">
        <v>0.25158358905328</v>
      </c>
      <c r="U536" s="4">
        <v>0.0106031091626513</v>
      </c>
      <c r="V536" s="4">
        <v>0.240980479890629</v>
      </c>
      <c r="W536" s="4">
        <v>-0.01137352</v>
      </c>
    </row>
    <row r="537" spans="1:23" x14ac:dyDescent="0.25">
      <c r="A537">
        <v>45751</v>
      </c>
      <c r="B537" t="s">
        <v>27</v>
      </c>
      <c r="C537" t="s">
        <v>28</v>
      </c>
      <c r="D537">
        <v>10</v>
      </c>
      <c r="E537" s="1">
        <v>0.0356690829593833</v>
      </c>
      <c r="F537" s="1">
        <v>-0.014298321711551</v>
      </c>
      <c r="G537" s="1">
        <v>1</v>
      </c>
      <c r="H537" s="1">
        <v>0.4</v>
      </c>
      <c r="I537" s="1">
        <v>0.7</v>
      </c>
      <c r="J537" t="s">
        <v>213</v>
      </c>
      <c r="K537" s="3">
        <v>77922.1485</v>
      </c>
      <c r="L537" s="4">
        <v>0.150719925685091</v>
      </c>
      <c r="M537" s="4">
        <v>0.0978409536221927</v>
      </c>
      <c r="N537" s="4">
        <v>0.0106031091626513</v>
      </c>
      <c r="O537" s="4">
        <v>0.0872378444595414</v>
      </c>
      <c r="P537" s="4">
        <v>-0.01137352</v>
      </c>
      <c r="Q537" t="s">
        <v>213</v>
      </c>
      <c r="R537" s="3">
        <v>77922.1485</v>
      </c>
      <c r="S537" s="4">
        <v>0.150719925685091</v>
      </c>
      <c r="T537" s="4">
        <v>0.0978409536221927</v>
      </c>
      <c r="U537" s="4">
        <v>0.0106031091626513</v>
      </c>
      <c r="V537" s="4">
        <v>0.0872378444595414</v>
      </c>
      <c r="W537" s="4">
        <v>-0.01137352</v>
      </c>
    </row>
    <row r="538" spans="1:23" x14ac:dyDescent="0.25">
      <c r="A538">
        <v>64390</v>
      </c>
      <c r="B538" t="s">
        <v>16</v>
      </c>
      <c r="C538" t="s">
        <v>17</v>
      </c>
      <c r="D538">
        <v>10</v>
      </c>
      <c r="E538" s="1">
        <v>0.0554310764734535</v>
      </c>
      <c r="F538" s="1">
        <v>0.019915271276593</v>
      </c>
      <c r="G538" s="1">
        <v>0.8</v>
      </c>
      <c r="H538" s="1">
        <v>0.6</v>
      </c>
      <c r="I538" s="1">
        <v>0.7</v>
      </c>
      <c r="J538" t="s">
        <v>213</v>
      </c>
      <c r="K538" s="3">
        <v>68006.3210365295</v>
      </c>
      <c r="L538" s="4">
        <v>0.118166616242281</v>
      </c>
      <c r="M538" s="4">
        <v>0.0747934709001583</v>
      </c>
      <c r="N538" s="4">
        <v>0.0106031091626513</v>
      </c>
      <c r="O538" s="4">
        <v>0.064190361737507</v>
      </c>
      <c r="P538" s="4">
        <v>-0.01137352</v>
      </c>
      <c r="Q538" t="s">
        <v>213</v>
      </c>
      <c r="R538" s="3">
        <v>68006.3210365295</v>
      </c>
      <c r="S538" s="4">
        <v>0.118166616242281</v>
      </c>
      <c r="T538" s="4">
        <v>0.0747934709001583</v>
      </c>
      <c r="U538" s="4">
        <v>0.0106031091626513</v>
      </c>
      <c r="V538" s="4">
        <v>0.064190361737507</v>
      </c>
      <c r="W538" s="4">
        <v>-0.01137352</v>
      </c>
    </row>
    <row r="539" spans="1:23" x14ac:dyDescent="0.25">
      <c r="A539">
        <v>87666</v>
      </c>
      <c r="B539" t="s">
        <v>35</v>
      </c>
      <c r="C539" t="s">
        <v>36</v>
      </c>
      <c r="D539">
        <v>10</v>
      </c>
      <c r="E539" s="1">
        <v>0.0954409884959523</v>
      </c>
      <c r="F539" s="1">
        <v>0.089828181741517</v>
      </c>
      <c r="G539" s="1">
        <v>0.6</v>
      </c>
      <c r="H539" s="1">
        <v>0.8</v>
      </c>
      <c r="I539" s="1">
        <v>0.7</v>
      </c>
      <c r="J539" t="s">
        <v>213</v>
      </c>
      <c r="K539" s="3">
        <v>26848.0049348488</v>
      </c>
      <c r="L539" s="4">
        <v>-0.169037502309255</v>
      </c>
      <c r="M539" s="4">
        <v>0.0374844820886397</v>
      </c>
      <c r="N539" s="4">
        <v>0.0106031091626513</v>
      </c>
      <c r="O539" s="4">
        <v>0.0268813729259885</v>
      </c>
      <c r="P539" s="4">
        <v>-0.01137352</v>
      </c>
      <c r="Q539" t="s">
        <v>213</v>
      </c>
      <c r="R539" s="3">
        <v>26848.0049348488</v>
      </c>
      <c r="S539" s="4">
        <v>-0.169037502309255</v>
      </c>
      <c r="T539" s="4">
        <v>0.0374844820886397</v>
      </c>
      <c r="U539" s="4">
        <v>0.0106031091626513</v>
      </c>
      <c r="V539" s="4">
        <v>0.0268813729259885</v>
      </c>
      <c r="W539" s="4">
        <v>-0.01137352</v>
      </c>
    </row>
    <row r="540" spans="1:23" x14ac:dyDescent="0.25">
      <c r="A540">
        <v>89575</v>
      </c>
      <c r="B540" t="s">
        <v>167</v>
      </c>
      <c r="C540" t="s">
        <v>168</v>
      </c>
      <c r="D540">
        <v>10</v>
      </c>
      <c r="E540" s="1">
        <v>0.104080912619076</v>
      </c>
      <c r="F540" s="1">
        <v>0.101733690561238</v>
      </c>
      <c r="G540" s="1">
        <v>0.4</v>
      </c>
      <c r="H540" s="1">
        <v>1</v>
      </c>
      <c r="I540" s="1">
        <v>0.7</v>
      </c>
      <c r="J540" t="s">
        <v>213</v>
      </c>
      <c r="K540" s="3">
        <v>1431.25397750854</v>
      </c>
      <c r="L540" s="4">
        <v>0.0265141073237792</v>
      </c>
      <c r="M540" s="4">
        <v>-0.181285169211091</v>
      </c>
      <c r="N540" s="4">
        <v>0.0106031091626513</v>
      </c>
      <c r="O540" s="4">
        <v>-0.191888278373743</v>
      </c>
      <c r="P540" s="4">
        <v>-0.01137352</v>
      </c>
      <c r="Q540" t="s">
        <v>213</v>
      </c>
      <c r="R540" s="3">
        <v>1431.25397750854</v>
      </c>
      <c r="S540" s="4">
        <v>0.0265141073237792</v>
      </c>
      <c r="T540" s="4">
        <v>-0.181285169211091</v>
      </c>
      <c r="U540" s="4">
        <v>0.0106031091626513</v>
      </c>
      <c r="V540" s="4">
        <v>-0.191888278373743</v>
      </c>
      <c r="W540" s="4">
        <v>-0.01137352</v>
      </c>
    </row>
    <row r="541" spans="1:23" x14ac:dyDescent="0.25">
      <c r="A541">
        <v>89841</v>
      </c>
      <c r="B541" t="s">
        <v>126</v>
      </c>
      <c r="C541" t="s">
        <v>127</v>
      </c>
      <c r="D541">
        <v>10</v>
      </c>
      <c r="E541" s="1">
        <v>0.143875838926175</v>
      </c>
      <c r="F541" s="1">
        <v>0.248323453772517</v>
      </c>
      <c r="G541" s="1">
        <v>0.4</v>
      </c>
      <c r="H541" s="1">
        <v>1</v>
      </c>
      <c r="I541" s="1">
        <v>0.7</v>
      </c>
      <c r="J541" t="s">
        <v>213</v>
      </c>
      <c r="K541" s="3">
        <v>2096.43202768326</v>
      </c>
      <c r="L541" s="4">
        <v>0.0787992986312842</v>
      </c>
      <c r="M541" s="4">
        <v>0.0852459701392567</v>
      </c>
      <c r="N541" s="4">
        <v>0.0106031091626513</v>
      </c>
      <c r="O541" s="4">
        <v>0.0746428609766054</v>
      </c>
      <c r="P541" s="4">
        <v>-0.01137352</v>
      </c>
      <c r="Q541" t="s">
        <v>213</v>
      </c>
      <c r="R541" s="3">
        <v>2096.43202768326</v>
      </c>
      <c r="S541" s="4">
        <v>0.0787992986312842</v>
      </c>
      <c r="T541" s="4">
        <v>0.0852459701392567</v>
      </c>
      <c r="U541" s="4">
        <v>0.0106031091626513</v>
      </c>
      <c r="V541" s="4">
        <v>0.0746428609766054</v>
      </c>
      <c r="W541" s="4">
        <v>-0.01137352</v>
      </c>
    </row>
    <row r="542" spans="1:23" x14ac:dyDescent="0.25">
      <c r="A542">
        <v>92780</v>
      </c>
      <c r="B542" t="s">
        <v>173</v>
      </c>
      <c r="C542" t="s">
        <v>174</v>
      </c>
      <c r="D542">
        <v>10</v>
      </c>
      <c r="E542" s="1">
        <v>0.00275317213310989</v>
      </c>
      <c r="F542" s="1">
        <v>-0.077583345409417</v>
      </c>
      <c r="G542" s="1">
        <v>1</v>
      </c>
      <c r="H542" s="1">
        <v>0.4</v>
      </c>
      <c r="I542" s="1">
        <v>0.7</v>
      </c>
      <c r="J542" t="s">
        <v>213</v>
      </c>
      <c r="K542" s="3">
        <v>685.731221618652</v>
      </c>
      <c r="L542" s="4">
        <v>0.463183338179703</v>
      </c>
      <c r="M542" s="4">
        <v>-0.19487661212505</v>
      </c>
      <c r="N542" s="4">
        <v>0.0106031091626513</v>
      </c>
      <c r="O542" s="4">
        <v>-0.205479721287701</v>
      </c>
      <c r="P542" s="4">
        <v>-0.01137352</v>
      </c>
      <c r="Q542" t="s">
        <v>213</v>
      </c>
      <c r="R542" s="3">
        <v>685.731221618652</v>
      </c>
      <c r="S542" s="4">
        <v>0.463183338179703</v>
      </c>
      <c r="T542" s="4">
        <v>-0.19487661212505</v>
      </c>
      <c r="U542" s="4">
        <v>0.0106031091626513</v>
      </c>
      <c r="V542" s="4">
        <v>-0.205479721287701</v>
      </c>
      <c r="W542" s="4">
        <v>-0.01137352</v>
      </c>
    </row>
    <row r="543" spans="1:23" x14ac:dyDescent="0.25">
      <c r="A543">
        <v>23799</v>
      </c>
      <c r="B543" t="s">
        <v>147</v>
      </c>
      <c r="C543" t="s">
        <v>148</v>
      </c>
      <c r="D543">
        <v>10</v>
      </c>
      <c r="E543" s="1">
        <v>0.139359698681733</v>
      </c>
      <c r="F543" s="1">
        <v>0.0917393828623967</v>
      </c>
      <c r="G543" s="1">
        <v>0.4</v>
      </c>
      <c r="H543" s="1">
        <v>0.8</v>
      </c>
      <c r="I543" s="1">
        <v>0.6</v>
      </c>
      <c r="J543" t="s">
        <v>213</v>
      </c>
      <c r="K543" s="3">
        <v>211.632712890148</v>
      </c>
      <c r="L543" s="4">
        <v>0.0448345446628931</v>
      </c>
      <c r="M543" s="4">
        <v>-0.367469889004822</v>
      </c>
      <c r="N543" s="4">
        <v>0.0106031091626513</v>
      </c>
      <c r="O543" s="4">
        <v>-0.378072998167473</v>
      </c>
      <c r="P543" s="4">
        <v>-0.01137352</v>
      </c>
      <c r="Q543" t="s">
        <v>213</v>
      </c>
      <c r="R543" s="3">
        <v>211.632712890148</v>
      </c>
      <c r="S543" s="4">
        <v>0.0448345446628931</v>
      </c>
      <c r="T543" s="4">
        <v>-0.367469889004822</v>
      </c>
      <c r="U543" s="4">
        <v>0.0106031091626513</v>
      </c>
      <c r="V543" s="4">
        <v>-0.378072998167473</v>
      </c>
      <c r="W543" s="4">
        <v>-0.01137352</v>
      </c>
    </row>
    <row r="544" spans="1:23" x14ac:dyDescent="0.25">
      <c r="A544">
        <v>65294</v>
      </c>
      <c r="B544" t="s">
        <v>191</v>
      </c>
      <c r="C544" t="s">
        <v>192</v>
      </c>
      <c r="D544">
        <v>10</v>
      </c>
      <c r="E544" s="1">
        <v>0.0551293487957181</v>
      </c>
      <c r="F544" s="1">
        <v>-0.0904039574645368</v>
      </c>
      <c r="G544" s="1">
        <v>0.8</v>
      </c>
      <c r="H544" s="1">
        <v>0.4</v>
      </c>
      <c r="I544" s="1">
        <v>0.6</v>
      </c>
      <c r="J544" t="s">
        <v>213</v>
      </c>
      <c r="K544" s="3">
        <v>5283.39227404785</v>
      </c>
      <c r="L544" s="4">
        <v>0.198875385563212</v>
      </c>
      <c r="M544" s="4">
        <v>0.086574996621674</v>
      </c>
      <c r="N544" s="4">
        <v>0.0106031091626513</v>
      </c>
      <c r="O544" s="4">
        <v>0.0759718874590227</v>
      </c>
      <c r="P544" s="4">
        <v>-0.01137352</v>
      </c>
      <c r="Q544" t="s">
        <v>213</v>
      </c>
      <c r="R544" s="3">
        <v>5283.39227404785</v>
      </c>
      <c r="S544" s="4">
        <v>0.198875385563212</v>
      </c>
      <c r="T544" s="4">
        <v>0.086574996621674</v>
      </c>
      <c r="U544" s="4">
        <v>0.0106031091626513</v>
      </c>
      <c r="V544" s="4">
        <v>0.0759718874590227</v>
      </c>
      <c r="W544" s="4">
        <v>-0.01137352</v>
      </c>
    </row>
    <row r="545" spans="1:23" x14ac:dyDescent="0.25">
      <c r="A545">
        <v>76804</v>
      </c>
      <c r="B545" t="s">
        <v>107</v>
      </c>
      <c r="C545" t="s">
        <v>108</v>
      </c>
      <c r="D545">
        <v>10</v>
      </c>
      <c r="E545" s="1">
        <v>0.131761442441054</v>
      </c>
      <c r="F545" s="1">
        <v>0.0780517633107326</v>
      </c>
      <c r="G545" s="1">
        <v>0.4</v>
      </c>
      <c r="H545" s="1">
        <v>0.8</v>
      </c>
      <c r="I545" s="1">
        <v>0.6</v>
      </c>
      <c r="J545" t="s">
        <v>213</v>
      </c>
      <c r="K545" s="3">
        <v>3900.97271810341</v>
      </c>
      <c r="L545" s="4">
        <v>-0.0112338280743129</v>
      </c>
      <c r="M545" s="4">
        <v>0.116319532312133</v>
      </c>
      <c r="N545" s="4">
        <v>0.0106031091626513</v>
      </c>
      <c r="O545" s="4">
        <v>0.105716423149482</v>
      </c>
      <c r="P545" s="4">
        <v>-0.01137352</v>
      </c>
      <c r="Q545" t="s">
        <v>213</v>
      </c>
      <c r="R545" s="3">
        <v>3900.97271810341</v>
      </c>
      <c r="S545" s="4">
        <v>-0.0112338280743129</v>
      </c>
      <c r="T545" s="4">
        <v>0.116319532312133</v>
      </c>
      <c r="U545" s="4">
        <v>0.0106031091626513</v>
      </c>
      <c r="V545" s="4">
        <v>0.105716423149482</v>
      </c>
      <c r="W545" s="4">
        <v>-0.01137352</v>
      </c>
    </row>
    <row r="546" spans="1:23" x14ac:dyDescent="0.25">
      <c r="A546">
        <v>78693</v>
      </c>
      <c r="B546" t="s">
        <v>153</v>
      </c>
      <c r="C546" t="s">
        <v>154</v>
      </c>
      <c r="D546">
        <v>10</v>
      </c>
      <c r="E546" s="1">
        <v>0.138421733505821</v>
      </c>
      <c r="F546" s="1">
        <v>0.0818598262902849</v>
      </c>
      <c r="G546" s="1">
        <v>0.4</v>
      </c>
      <c r="H546" s="1">
        <v>0.8</v>
      </c>
      <c r="I546" s="1">
        <v>0.6</v>
      </c>
      <c r="J546" t="s">
        <v>213</v>
      </c>
      <c r="K546" s="3">
        <v>862.150998470306</v>
      </c>
      <c r="L546" s="4">
        <v>-0.00227956059504385</v>
      </c>
      <c r="M546" s="4">
        <v>-0.32246126773789</v>
      </c>
      <c r="N546" s="4">
        <v>0.0106031091626513</v>
      </c>
      <c r="O546" s="4">
        <v>-0.333064376900541</v>
      </c>
      <c r="P546" s="4">
        <v>-0.01137352</v>
      </c>
      <c r="Q546" t="s">
        <v>213</v>
      </c>
      <c r="R546" s="3">
        <v>862.150998470306</v>
      </c>
      <c r="S546" s="4">
        <v>-0.00227956059504385</v>
      </c>
      <c r="T546" s="4">
        <v>-0.32246126773789</v>
      </c>
      <c r="U546" s="4">
        <v>0.0106031091626513</v>
      </c>
      <c r="V546" s="4">
        <v>-0.333064376900541</v>
      </c>
      <c r="W546" s="4">
        <v>-0.01137352</v>
      </c>
    </row>
    <row r="547" spans="1:23" x14ac:dyDescent="0.25">
      <c r="A547">
        <v>52936</v>
      </c>
      <c r="B547" t="s">
        <v>29</v>
      </c>
      <c r="C547" t="s">
        <v>30</v>
      </c>
      <c r="D547">
        <v>10</v>
      </c>
      <c r="E547" s="1">
        <v>0.0844327176781003</v>
      </c>
      <c r="F547" s="1">
        <v>0.0151167660565686</v>
      </c>
      <c r="G547" s="1">
        <v>0.6</v>
      </c>
      <c r="H547" s="1">
        <v>0.6</v>
      </c>
      <c r="I547" s="1">
        <v>0.6</v>
      </c>
      <c r="J547" t="s">
        <v>213</v>
      </c>
      <c r="K547" s="3">
        <v>2452.93525775528</v>
      </c>
      <c r="L547" s="4">
        <v>0.021194434580989</v>
      </c>
      <c r="M547" s="4">
        <v>-0.359004204552665</v>
      </c>
      <c r="N547" s="4">
        <v>0.0106031091626513</v>
      </c>
      <c r="O547" s="4">
        <v>-0.369607313715316</v>
      </c>
      <c r="P547" s="4">
        <v>-0.01137352</v>
      </c>
      <c r="Q547" t="s">
        <v>213</v>
      </c>
      <c r="R547" s="3">
        <v>2452.93525775528</v>
      </c>
      <c r="S547" s="4">
        <v>0.021194434580989</v>
      </c>
      <c r="T547" s="4">
        <v>-0.359004204552665</v>
      </c>
      <c r="U547" s="4">
        <v>0.0106031091626513</v>
      </c>
      <c r="V547" s="4">
        <v>-0.369607313715316</v>
      </c>
      <c r="W547" s="4">
        <v>-0.01137352</v>
      </c>
    </row>
    <row r="548" spans="1:23" x14ac:dyDescent="0.25">
      <c r="A548">
        <v>63467</v>
      </c>
      <c r="B548" t="s">
        <v>43</v>
      </c>
      <c r="C548" t="s">
        <v>44</v>
      </c>
      <c r="D548">
        <v>10</v>
      </c>
      <c r="E548" s="1">
        <v>0.0295959021058623</v>
      </c>
      <c r="F548" s="1">
        <v>-0.12919132854369</v>
      </c>
      <c r="G548" s="1">
        <v>1</v>
      </c>
      <c r="H548" s="1">
        <v>0.2</v>
      </c>
      <c r="I548" s="1">
        <v>0.6</v>
      </c>
      <c r="J548" t="s">
        <v>213</v>
      </c>
      <c r="K548" s="3">
        <v>16467.8068630714</v>
      </c>
      <c r="L548" s="4">
        <v>0.167608169512603</v>
      </c>
      <c r="M548" s="4">
        <v>0.0577020762086227</v>
      </c>
      <c r="N548" s="4">
        <v>0.0106031091626513</v>
      </c>
      <c r="O548" s="4">
        <v>0.0470989670459714</v>
      </c>
      <c r="P548" s="4">
        <v>-0.01137352</v>
      </c>
      <c r="Q548" t="s">
        <v>213</v>
      </c>
      <c r="R548" s="3">
        <v>16467.8068630714</v>
      </c>
      <c r="S548" s="4">
        <v>0.167608169512603</v>
      </c>
      <c r="T548" s="4">
        <v>0.0577020762086227</v>
      </c>
      <c r="U548" s="4">
        <v>0.0106031091626513</v>
      </c>
      <c r="V548" s="4">
        <v>0.0470989670459714</v>
      </c>
      <c r="W548" s="4">
        <v>-0.01137352</v>
      </c>
    </row>
    <row r="549" spans="1:23" x14ac:dyDescent="0.25">
      <c r="A549">
        <v>72980</v>
      </c>
      <c r="B549" t="s">
        <v>151</v>
      </c>
      <c r="C549" t="s">
        <v>152</v>
      </c>
      <c r="D549">
        <v>10</v>
      </c>
      <c r="E549" s="1">
        <v>0.151135080898031</v>
      </c>
      <c r="F549" s="1">
        <v>0.160389181141748</v>
      </c>
      <c r="G549" s="1">
        <v>0.2</v>
      </c>
      <c r="H549" s="1">
        <v>1</v>
      </c>
      <c r="I549" s="1">
        <v>0.6</v>
      </c>
      <c r="J549" t="s">
        <v>213</v>
      </c>
      <c r="K549" s="3">
        <v>1344.09575</v>
      </c>
      <c r="L549" s="4">
        <v>0.439475660544822</v>
      </c>
      <c r="M549" s="4">
        <v>-0.159507391582676</v>
      </c>
      <c r="N549" s="4">
        <v>0.0106031091626513</v>
      </c>
      <c r="O549" s="4">
        <v>-0.170110500745327</v>
      </c>
      <c r="P549" s="4">
        <v>-0.01137352</v>
      </c>
      <c r="Q549" t="s">
        <v>213</v>
      </c>
      <c r="R549" s="3">
        <v>1344.09575</v>
      </c>
      <c r="S549" s="4">
        <v>0.439475660544822</v>
      </c>
      <c r="T549" s="4">
        <v>-0.159507391582676</v>
      </c>
      <c r="U549" s="4">
        <v>0.0106031091626513</v>
      </c>
      <c r="V549" s="4">
        <v>-0.170110500745327</v>
      </c>
      <c r="W549" s="4">
        <v>-0.01137352</v>
      </c>
    </row>
    <row r="550" spans="1:23" x14ac:dyDescent="0.25">
      <c r="A550">
        <v>91688</v>
      </c>
      <c r="B550" t="s">
        <v>171</v>
      </c>
      <c r="C550" t="s">
        <v>172</v>
      </c>
      <c r="D550">
        <v>10</v>
      </c>
      <c r="E550" s="1">
        <v>0.101981633639439</v>
      </c>
      <c r="F550" s="1">
        <v>0.0519765951281685</v>
      </c>
      <c r="G550" s="1">
        <v>0.6</v>
      </c>
      <c r="H550" s="1">
        <v>0.6</v>
      </c>
      <c r="I550" s="1">
        <v>0.6</v>
      </c>
      <c r="J550" t="s">
        <v>213</v>
      </c>
      <c r="K550" s="3">
        <v>1161.94480307007</v>
      </c>
      <c r="L550" s="4">
        <v>-0.0116671352263142</v>
      </c>
      <c r="M550" s="4">
        <v>-0.0780376327212041</v>
      </c>
      <c r="N550" s="4">
        <v>0.0106031091626513</v>
      </c>
      <c r="O550" s="4">
        <v>-0.0886407418838554</v>
      </c>
      <c r="P550" s="4">
        <v>-0.01137352</v>
      </c>
      <c r="Q550" t="s">
        <v>213</v>
      </c>
      <c r="R550" s="3">
        <v>1161.94480307007</v>
      </c>
      <c r="S550" s="4">
        <v>-0.0116671352263142</v>
      </c>
      <c r="T550" s="4">
        <v>-0.0780376327212041</v>
      </c>
      <c r="U550" s="4">
        <v>0.0106031091626513</v>
      </c>
      <c r="V550" s="4">
        <v>-0.0886407418838554</v>
      </c>
      <c r="W550" s="4">
        <v>-0.01137352</v>
      </c>
    </row>
    <row r="551" spans="1:23" x14ac:dyDescent="0.25">
      <c r="A551">
        <v>13904</v>
      </c>
      <c r="B551" t="s">
        <v>111</v>
      </c>
      <c r="C551" t="s">
        <v>112</v>
      </c>
      <c r="D551">
        <v>10</v>
      </c>
      <c r="E551" s="1">
        <v>0.268586940129694</v>
      </c>
      <c r="F551" s="1">
        <v>0.0756869552692992</v>
      </c>
      <c r="G551" s="1">
        <v>0.2</v>
      </c>
      <c r="H551" s="1">
        <v>0.8</v>
      </c>
      <c r="I551" s="1">
        <v>0.5</v>
      </c>
      <c r="J551" t="s">
        <v>213</v>
      </c>
      <c r="K551" s="3">
        <v>6082.47762527466</v>
      </c>
      <c r="L551" s="4">
        <v>-0.482808210223559</v>
      </c>
      <c r="M551" s="4">
        <v>0.0000225836122469403</v>
      </c>
      <c r="N551" s="4">
        <v>0.0106031091626513</v>
      </c>
      <c r="O551" s="4">
        <v>-0.0105805255504043</v>
      </c>
      <c r="P551" s="4">
        <v>-0.01137352</v>
      </c>
      <c r="Q551" t="s">
        <v>213</v>
      </c>
      <c r="R551" s="3">
        <v>6082.47762527466</v>
      </c>
      <c r="S551" s="4">
        <v>-0.482808210223559</v>
      </c>
      <c r="T551" s="4">
        <v>0.0000225836122469403</v>
      </c>
      <c r="U551" s="4">
        <v>0.0106031091626513</v>
      </c>
      <c r="V551" s="4">
        <v>-0.0105805255504043</v>
      </c>
      <c r="W551" s="4">
        <v>-0.01137352</v>
      </c>
    </row>
    <row r="552" spans="1:23" x14ac:dyDescent="0.25">
      <c r="A552">
        <v>19357</v>
      </c>
      <c r="B552" t="s">
        <v>216</v>
      </c>
      <c r="C552" t="s">
        <v>217</v>
      </c>
      <c r="D552">
        <v>10</v>
      </c>
      <c r="E552" s="1">
        <v>0.0415368639667705</v>
      </c>
      <c r="F552" s="1">
        <v>-0.17215279387833</v>
      </c>
      <c r="G552" s="1">
        <v>0.8</v>
      </c>
      <c r="H552" s="1">
        <v>0.2</v>
      </c>
      <c r="I552" s="1">
        <v>0.5</v>
      </c>
      <c r="J552" t="s">
        <v>213</v>
      </c>
      <c r="K552" s="3">
        <v>407.716963135719</v>
      </c>
      <c r="L552" s="4">
        <v>0.76441868997112</v>
      </c>
      <c r="M552" s="4">
        <v>-0.452054830456103</v>
      </c>
      <c r="N552" s="4">
        <v>0.0106031091626513</v>
      </c>
      <c r="O552" s="4">
        <v>-0.462657939618754</v>
      </c>
      <c r="P552" s="4">
        <v>-0.01137352</v>
      </c>
      <c r="Q552" t="s">
        <v>213</v>
      </c>
      <c r="R552" s="3">
        <v>407.716963135719</v>
      </c>
      <c r="S552" s="4">
        <v>0.76441868997112</v>
      </c>
      <c r="T552" s="4">
        <v>-0.452054830456103</v>
      </c>
      <c r="U552" s="4">
        <v>0.0106031091626513</v>
      </c>
      <c r="V552" s="4">
        <v>-0.462657939618754</v>
      </c>
      <c r="W552" s="4">
        <v>-0.01137352</v>
      </c>
    </row>
    <row r="553" spans="1:23" x14ac:dyDescent="0.25">
      <c r="A553">
        <v>59459</v>
      </c>
      <c r="B553" t="s">
        <v>63</v>
      </c>
      <c r="C553" t="s">
        <v>64</v>
      </c>
      <c r="D553">
        <v>10</v>
      </c>
      <c r="E553" s="1">
        <v>0.0935242600524196</v>
      </c>
      <c r="F553" s="1">
        <v>-0.0187029873751411</v>
      </c>
      <c r="G553" s="1">
        <v>0.6</v>
      </c>
      <c r="H553" s="1">
        <v>0.4</v>
      </c>
      <c r="I553" s="1">
        <v>0.5</v>
      </c>
      <c r="J553" t="s">
        <v>213</v>
      </c>
      <c r="K553" s="3">
        <v>40584.6051016846</v>
      </c>
      <c r="L553" s="4">
        <v>0.0619132837273555</v>
      </c>
      <c r="M553" s="4">
        <v>-0.0338117696228779</v>
      </c>
      <c r="N553" s="4">
        <v>0.0106031091626513</v>
      </c>
      <c r="O553" s="4">
        <v>-0.0444148787855292</v>
      </c>
      <c r="P553" s="4">
        <v>-0.01137352</v>
      </c>
      <c r="Q553" t="s">
        <v>213</v>
      </c>
      <c r="R553" s="3">
        <v>40584.6051016846</v>
      </c>
      <c r="S553" s="4">
        <v>0.0619132837273555</v>
      </c>
      <c r="T553" s="4">
        <v>-0.0338117696228779</v>
      </c>
      <c r="U553" s="4">
        <v>0.0106031091626513</v>
      </c>
      <c r="V553" s="4">
        <v>-0.0444148787855292</v>
      </c>
      <c r="W553" s="4">
        <v>-0.01137352</v>
      </c>
    </row>
    <row r="554" spans="1:23" x14ac:dyDescent="0.25">
      <c r="A554">
        <v>79323</v>
      </c>
      <c r="B554" t="s">
        <v>45</v>
      </c>
      <c r="C554" t="s">
        <v>46</v>
      </c>
      <c r="D554">
        <v>10</v>
      </c>
      <c r="E554" s="1">
        <v>0.146451338716532</v>
      </c>
      <c r="F554" s="1">
        <v>0.0719640095234766</v>
      </c>
      <c r="G554" s="1">
        <v>0.2</v>
      </c>
      <c r="H554" s="1">
        <v>0.8</v>
      </c>
      <c r="I554" s="1">
        <v>0.5</v>
      </c>
      <c r="J554" t="s">
        <v>213</v>
      </c>
      <c r="K554" s="3">
        <v>34848.5965130997</v>
      </c>
      <c r="L554" s="4">
        <v>0.129423321649439</v>
      </c>
      <c r="M554" s="4">
        <v>-0.184943007027633</v>
      </c>
      <c r="N554" s="4">
        <v>0.0106031091626513</v>
      </c>
      <c r="O554" s="4">
        <v>-0.195546116190284</v>
      </c>
      <c r="P554" s="4">
        <v>-0.01137352</v>
      </c>
      <c r="Q554" t="s">
        <v>213</v>
      </c>
      <c r="R554" s="3">
        <v>34848.5965130997</v>
      </c>
      <c r="S554" s="4">
        <v>0.129423321649439</v>
      </c>
      <c r="T554" s="4">
        <v>-0.184943007027633</v>
      </c>
      <c r="U554" s="4">
        <v>0.0106031091626513</v>
      </c>
      <c r="V554" s="4">
        <v>-0.195546116190284</v>
      </c>
      <c r="W554" s="4">
        <v>-0.01137352</v>
      </c>
    </row>
    <row r="555" spans="1:23" x14ac:dyDescent="0.25">
      <c r="A555">
        <v>88963</v>
      </c>
      <c r="B555" t="s">
        <v>175</v>
      </c>
      <c r="C555" t="s">
        <v>176</v>
      </c>
      <c r="D555">
        <v>10</v>
      </c>
      <c r="E555" s="1">
        <v>0.0573827851644507</v>
      </c>
      <c r="F555" s="1">
        <v>-0.103031660956306</v>
      </c>
      <c r="G555" s="1">
        <v>0.8</v>
      </c>
      <c r="H555" s="1">
        <v>0.2</v>
      </c>
      <c r="I555" s="1">
        <v>0.5</v>
      </c>
      <c r="J555" t="s">
        <v>213</v>
      </c>
      <c r="K555" s="3">
        <v>453.853929691315</v>
      </c>
      <c r="L555" s="4">
        <v>0.0496863666225691</v>
      </c>
      <c r="M555" s="4">
        <v>-0.0697784264087962</v>
      </c>
      <c r="N555" s="4">
        <v>0.0106031091626513</v>
      </c>
      <c r="O555" s="4">
        <v>-0.0803815355714474</v>
      </c>
      <c r="P555" s="4">
        <v>-0.01137352</v>
      </c>
      <c r="Q555" t="s">
        <v>213</v>
      </c>
      <c r="R555" s="3">
        <v>453.853929691315</v>
      </c>
      <c r="S555" s="4">
        <v>0.0496863666225691</v>
      </c>
      <c r="T555" s="4">
        <v>-0.0697784264087962</v>
      </c>
      <c r="U555" s="4">
        <v>0.0106031091626513</v>
      </c>
      <c r="V555" s="4">
        <v>-0.0803815355714474</v>
      </c>
      <c r="W555" s="4">
        <v>-0.01137352</v>
      </c>
    </row>
    <row r="556" spans="1:23" x14ac:dyDescent="0.25">
      <c r="A556">
        <v>90162</v>
      </c>
      <c r="B556" t="s">
        <v>69</v>
      </c>
      <c r="C556" t="s">
        <v>70</v>
      </c>
      <c r="D556">
        <v>10</v>
      </c>
      <c r="E556" s="1">
        <v>0.432098765432099</v>
      </c>
      <c r="F556" s="1">
        <v>0.0878167025887474</v>
      </c>
      <c r="G556" s="1">
        <v>0.2</v>
      </c>
      <c r="H556" s="1">
        <v>0.8</v>
      </c>
      <c r="I556" s="1">
        <v>0.5</v>
      </c>
      <c r="J556" t="s">
        <v>213</v>
      </c>
      <c r="K556" s="3">
        <v>1800.63886540604</v>
      </c>
      <c r="L556" s="4">
        <v>-0.133073562404062</v>
      </c>
      <c r="M556" s="4">
        <v>0.320987575450001</v>
      </c>
      <c r="N556" s="4">
        <v>0.0106031091626513</v>
      </c>
      <c r="O556" s="4">
        <v>0.31038446628735</v>
      </c>
      <c r="P556" s="4">
        <v>-0.01137352</v>
      </c>
      <c r="Q556" t="s">
        <v>213</v>
      </c>
      <c r="R556" s="3">
        <v>1800.63886540604</v>
      </c>
      <c r="S556" s="4">
        <v>-0.133073562404062</v>
      </c>
      <c r="T556" s="4">
        <v>0.320987575450001</v>
      </c>
      <c r="U556" s="4">
        <v>0.0106031091626513</v>
      </c>
      <c r="V556" s="4">
        <v>0.31038446628735</v>
      </c>
      <c r="W556" s="4">
        <v>-0.01137352</v>
      </c>
    </row>
    <row r="557" spans="1:23" x14ac:dyDescent="0.25">
      <c r="A557">
        <v>93374</v>
      </c>
      <c r="B557" t="s">
        <v>134</v>
      </c>
      <c r="C557" t="s">
        <v>135</v>
      </c>
      <c r="D557">
        <v>10</v>
      </c>
      <c r="E557" s="1">
        <v>0.142911926370957</v>
      </c>
      <c r="F557" s="1">
        <v>0.00707220968417271</v>
      </c>
      <c r="G557" s="1">
        <v>0.4</v>
      </c>
      <c r="H557" s="1">
        <v>0.6</v>
      </c>
      <c r="I557" s="1">
        <v>0.5</v>
      </c>
      <c r="J557" t="s">
        <v>213</v>
      </c>
      <c r="K557" s="3">
        <v>5683.87240333557</v>
      </c>
      <c r="L557" s="4">
        <v>0.30123801202353</v>
      </c>
      <c r="M557" s="4">
        <v>-0.0564230969792142</v>
      </c>
      <c r="N557" s="4">
        <v>0.0106031091626513</v>
      </c>
      <c r="O557" s="4">
        <v>-0.0670262061418655</v>
      </c>
      <c r="P557" s="4">
        <v>-0.01137352</v>
      </c>
      <c r="Q557" t="s">
        <v>213</v>
      </c>
      <c r="R557" s="3">
        <v>5683.87240333557</v>
      </c>
      <c r="S557" s="4">
        <v>0.30123801202353</v>
      </c>
      <c r="T557" s="4">
        <v>-0.0564230969792142</v>
      </c>
      <c r="U557" s="4">
        <v>0.0106031091626513</v>
      </c>
      <c r="V557" s="4">
        <v>-0.0670262061418655</v>
      </c>
      <c r="W557" s="4">
        <v>-0.01137352</v>
      </c>
    </row>
    <row r="558" spans="1:23" x14ac:dyDescent="0.25">
      <c r="A558">
        <v>10901</v>
      </c>
      <c r="B558" t="s">
        <v>186</v>
      </c>
      <c r="C558" t="s">
        <v>187</v>
      </c>
      <c r="D558">
        <v>10</v>
      </c>
      <c r="E558" s="1">
        <v>0.179457266041085</v>
      </c>
      <c r="F558" s="1">
        <v>-0.00518390495241167</v>
      </c>
      <c r="G558" s="1">
        <v>0.2</v>
      </c>
      <c r="H558" s="1">
        <v>0.6</v>
      </c>
      <c r="I558" s="1">
        <v>0.4</v>
      </c>
      <c r="J558" t="s">
        <v>213</v>
      </c>
      <c r="K558" s="3">
        <v>297.620328842163</v>
      </c>
      <c r="L558" s="4">
        <v>0.393768400392542</v>
      </c>
      <c r="M558" s="4">
        <v>-0.175711708004794</v>
      </c>
      <c r="N558" s="4">
        <v>0.0106031091626513</v>
      </c>
      <c r="O558" s="4">
        <v>-0.186314817167445</v>
      </c>
      <c r="P558" s="4">
        <v>-0.01137352</v>
      </c>
      <c r="Q558" t="s">
        <v>213</v>
      </c>
      <c r="R558" s="3">
        <v>297.620328842163</v>
      </c>
      <c r="S558" s="4">
        <v>0.393768400392542</v>
      </c>
      <c r="T558" s="4">
        <v>-0.175711708004794</v>
      </c>
      <c r="U558" s="4">
        <v>0.0106031091626513</v>
      </c>
      <c r="V558" s="4">
        <v>-0.186314817167445</v>
      </c>
      <c r="W558" s="4">
        <v>-0.01137352</v>
      </c>
    </row>
    <row r="559" spans="1:23" x14ac:dyDescent="0.25">
      <c r="A559">
        <v>47626</v>
      </c>
      <c r="B559" t="s">
        <v>77</v>
      </c>
      <c r="C559" t="s">
        <v>78</v>
      </c>
      <c r="D559">
        <v>10</v>
      </c>
      <c r="E559" s="1">
        <v>0.1002722323049</v>
      </c>
      <c r="F559" s="1">
        <v>-0.35213246069515</v>
      </c>
      <c r="G559" s="1">
        <v>0.6</v>
      </c>
      <c r="H559" s="1">
        <v>0.2</v>
      </c>
      <c r="I559" s="1">
        <v>0.4</v>
      </c>
      <c r="J559" t="s">
        <v>213</v>
      </c>
      <c r="K559" s="3">
        <v>12181.8194139862</v>
      </c>
      <c r="L559" s="4">
        <v>0.0803780293814915</v>
      </c>
      <c r="M559" s="4">
        <v>-0.139866885215874</v>
      </c>
      <c r="N559" s="4">
        <v>0.0106031091626513</v>
      </c>
      <c r="O559" s="4">
        <v>-0.150469994378525</v>
      </c>
      <c r="P559" s="4">
        <v>-0.01137352</v>
      </c>
      <c r="Q559" t="s">
        <v>213</v>
      </c>
      <c r="R559" s="3">
        <v>12181.8194139862</v>
      </c>
      <c r="S559" s="4">
        <v>0.0803780293814915</v>
      </c>
      <c r="T559" s="4">
        <v>-0.139866885215874</v>
      </c>
      <c r="U559" s="4">
        <v>0.0106031091626513</v>
      </c>
      <c r="V559" s="4">
        <v>-0.150469994378525</v>
      </c>
      <c r="W559" s="4">
        <v>-0.01137352</v>
      </c>
    </row>
    <row r="560" spans="1:23" x14ac:dyDescent="0.25">
      <c r="A560">
        <v>49015</v>
      </c>
      <c r="B560" t="s">
        <v>81</v>
      </c>
      <c r="C560" t="s">
        <v>82</v>
      </c>
      <c r="D560">
        <v>10</v>
      </c>
      <c r="E560" s="1">
        <v>0.1098740111339</v>
      </c>
      <c r="F560" s="1">
        <v>-0.0392984773956531</v>
      </c>
      <c r="G560" s="1">
        <v>0.4</v>
      </c>
      <c r="H560" s="1">
        <v>0.4</v>
      </c>
      <c r="I560" s="1">
        <v>0.4</v>
      </c>
      <c r="J560" t="s">
        <v>213</v>
      </c>
      <c r="K560" s="3">
        <v>8041.96126871109</v>
      </c>
      <c r="L560" s="4">
        <v>0.0759192669063914</v>
      </c>
      <c r="M560" s="4">
        <v>-0.620296941399004</v>
      </c>
      <c r="N560" s="4">
        <v>0.0106031091626513</v>
      </c>
      <c r="O560" s="4">
        <v>-0.630900050561655</v>
      </c>
      <c r="P560" s="4">
        <v>-0.01137352</v>
      </c>
      <c r="Q560" t="s">
        <v>213</v>
      </c>
      <c r="R560" s="3">
        <v>8041.96126871109</v>
      </c>
      <c r="S560" s="4">
        <v>0.0759192669063914</v>
      </c>
      <c r="T560" s="4">
        <v>-0.620296941399004</v>
      </c>
      <c r="U560" s="4">
        <v>0.0106031091626513</v>
      </c>
      <c r="V560" s="4">
        <v>-0.630900050561655</v>
      </c>
      <c r="W560" s="4">
        <v>-0.01137352</v>
      </c>
    </row>
    <row r="561" spans="1:23" x14ac:dyDescent="0.25">
      <c r="A561">
        <v>57904</v>
      </c>
      <c r="B561" t="s">
        <v>41</v>
      </c>
      <c r="C561" t="s">
        <v>42</v>
      </c>
      <c r="D561">
        <v>10</v>
      </c>
      <c r="E561" s="1">
        <v>0.109950333961295</v>
      </c>
      <c r="F561" s="1">
        <v>-0.0981943186266476</v>
      </c>
      <c r="G561" s="1">
        <v>0.4</v>
      </c>
      <c r="H561" s="1">
        <v>0.4</v>
      </c>
      <c r="I561" s="1">
        <v>0.4</v>
      </c>
      <c r="J561" t="s">
        <v>213</v>
      </c>
      <c r="K561" s="3">
        <v>35641.6506295013</v>
      </c>
      <c r="L561" s="4">
        <v>-0.0738718908210434</v>
      </c>
      <c r="M561" s="4">
        <v>0.0868435487565011</v>
      </c>
      <c r="N561" s="4">
        <v>0.0106031091626513</v>
      </c>
      <c r="O561" s="4">
        <v>0.0762404395938499</v>
      </c>
      <c r="P561" s="4">
        <v>-0.01137352</v>
      </c>
      <c r="Q561" t="s">
        <v>213</v>
      </c>
      <c r="R561" s="3">
        <v>35641.6506295013</v>
      </c>
      <c r="S561" s="4">
        <v>-0.0738718908210434</v>
      </c>
      <c r="T561" s="4">
        <v>0.0868435487565011</v>
      </c>
      <c r="U561" s="4">
        <v>0.0106031091626513</v>
      </c>
      <c r="V561" s="4">
        <v>0.0762404395938499</v>
      </c>
      <c r="W561" s="4">
        <v>-0.01137352</v>
      </c>
    </row>
    <row r="562" spans="1:23" x14ac:dyDescent="0.25">
      <c r="A562">
        <v>60687</v>
      </c>
      <c r="B562" t="s">
        <v>83</v>
      </c>
      <c r="C562" t="s">
        <v>84</v>
      </c>
      <c r="D562">
        <v>10</v>
      </c>
      <c r="E562" s="1">
        <v>0.0924847072531314</v>
      </c>
      <c r="F562" s="1">
        <v>-0.16037496012649</v>
      </c>
      <c r="G562" s="1">
        <v>0.6</v>
      </c>
      <c r="H562" s="1">
        <v>0.2</v>
      </c>
      <c r="I562" s="1">
        <v>0.4</v>
      </c>
      <c r="J562" t="s">
        <v>213</v>
      </c>
      <c r="K562" s="3">
        <v>11813.0084122314</v>
      </c>
      <c r="L562" s="4">
        <v>-0.202790935859685</v>
      </c>
      <c r="M562" s="4">
        <v>-0.155138582411504</v>
      </c>
      <c r="N562" s="4">
        <v>0.0106031091626513</v>
      </c>
      <c r="O562" s="4">
        <v>-0.165741691574155</v>
      </c>
      <c r="P562" s="4">
        <v>-0.01137352</v>
      </c>
      <c r="Q562" t="s">
        <v>213</v>
      </c>
      <c r="R562" s="3">
        <v>11813.0084122314</v>
      </c>
      <c r="S562" s="4">
        <v>-0.202790935859685</v>
      </c>
      <c r="T562" s="4">
        <v>-0.155138582411504</v>
      </c>
      <c r="U562" s="4">
        <v>0.0106031091626513</v>
      </c>
      <c r="V562" s="4">
        <v>-0.165741691574155</v>
      </c>
      <c r="W562" s="4">
        <v>-0.01137352</v>
      </c>
    </row>
    <row r="563" spans="1:23" x14ac:dyDescent="0.25">
      <c r="A563">
        <v>71175</v>
      </c>
      <c r="B563" t="s">
        <v>65</v>
      </c>
      <c r="C563" t="s">
        <v>66</v>
      </c>
      <c r="D563">
        <v>10</v>
      </c>
      <c r="E563" s="1">
        <v>0.164428164428164</v>
      </c>
      <c r="F563" s="1">
        <v>0.0464440561258622</v>
      </c>
      <c r="G563" s="1">
        <v>0.2</v>
      </c>
      <c r="H563" s="1">
        <v>0.6</v>
      </c>
      <c r="I563" s="1">
        <v>0.4</v>
      </c>
      <c r="J563" t="s">
        <v>213</v>
      </c>
      <c r="K563" s="3">
        <v>6841.25199205399</v>
      </c>
      <c r="L563" s="4">
        <v>-0.0871395143890358</v>
      </c>
      <c r="M563" s="4">
        <v>0.232064916095839</v>
      </c>
      <c r="N563" s="4">
        <v>0.0106031091626513</v>
      </c>
      <c r="O563" s="4">
        <v>0.221461806933187</v>
      </c>
      <c r="P563" s="4">
        <v>-0.01137352</v>
      </c>
      <c r="Q563" t="s">
        <v>213</v>
      </c>
      <c r="R563" s="3">
        <v>6841.25199205399</v>
      </c>
      <c r="S563" s="4">
        <v>-0.0871395143890358</v>
      </c>
      <c r="T563" s="4">
        <v>0.232064916095839</v>
      </c>
      <c r="U563" s="4">
        <v>0.0106031091626513</v>
      </c>
      <c r="V563" s="4">
        <v>0.221461806933187</v>
      </c>
      <c r="W563" s="4">
        <v>-0.01137352</v>
      </c>
    </row>
    <row r="564" spans="1:23" x14ac:dyDescent="0.25">
      <c r="A564">
        <v>76838</v>
      </c>
      <c r="B564" t="s">
        <v>130</v>
      </c>
      <c r="C564" t="s">
        <v>131</v>
      </c>
      <c r="D564">
        <v>10</v>
      </c>
      <c r="E564" s="1">
        <v>0.105533596837945</v>
      </c>
      <c r="F564" s="1">
        <v>-0.069502780090094</v>
      </c>
      <c r="G564" s="1">
        <v>0.4</v>
      </c>
      <c r="H564" s="1">
        <v>0.4</v>
      </c>
      <c r="I564" s="1">
        <v>0.4</v>
      </c>
      <c r="J564" t="s">
        <v>213</v>
      </c>
      <c r="K564" s="3">
        <v>1277.15419464111</v>
      </c>
      <c r="L564" s="4">
        <v>0.212631968256581</v>
      </c>
      <c r="M564" s="4">
        <v>-0.447322309139095</v>
      </c>
      <c r="N564" s="4">
        <v>0.0106031091626513</v>
      </c>
      <c r="O564" s="4">
        <v>-0.457925418301746</v>
      </c>
      <c r="P564" s="4">
        <v>-0.01137352</v>
      </c>
      <c r="Q564" t="s">
        <v>213</v>
      </c>
      <c r="R564" s="3">
        <v>1277.15419464111</v>
      </c>
      <c r="S564" s="4">
        <v>0.212631968256581</v>
      </c>
      <c r="T564" s="4">
        <v>-0.447322309139095</v>
      </c>
      <c r="U564" s="4">
        <v>0.0106031091626513</v>
      </c>
      <c r="V564" s="4">
        <v>-0.457925418301746</v>
      </c>
      <c r="W564" s="4">
        <v>-0.01137352</v>
      </c>
    </row>
    <row r="565" spans="1:23" x14ac:dyDescent="0.25">
      <c r="A565">
        <v>78038</v>
      </c>
      <c r="B565" t="s">
        <v>109</v>
      </c>
      <c r="C565" t="s">
        <v>110</v>
      </c>
      <c r="D565">
        <v>10</v>
      </c>
      <c r="E565" s="1">
        <v>0.150970184571699</v>
      </c>
      <c r="F565" s="1">
        <v>0.0599724087300391</v>
      </c>
      <c r="G565" s="1">
        <v>0.2</v>
      </c>
      <c r="H565" s="1">
        <v>0.6</v>
      </c>
      <c r="I565" s="1">
        <v>0.4</v>
      </c>
      <c r="J565" t="s">
        <v>213</v>
      </c>
      <c r="K565" s="3">
        <v>3395.55923408127</v>
      </c>
      <c r="L565" s="4">
        <v>-0.0755482522450381</v>
      </c>
      <c r="M565" s="4">
        <v>0.234393795178632</v>
      </c>
      <c r="N565" s="4">
        <v>0.0106031091626513</v>
      </c>
      <c r="O565" s="4">
        <v>0.223790686015981</v>
      </c>
      <c r="P565" s="4">
        <v>-0.01137352</v>
      </c>
      <c r="Q565" t="s">
        <v>213</v>
      </c>
      <c r="R565" s="3">
        <v>3395.55923408127</v>
      </c>
      <c r="S565" s="4">
        <v>-0.0755482522450381</v>
      </c>
      <c r="T565" s="4">
        <v>0.234393795178632</v>
      </c>
      <c r="U565" s="4">
        <v>0.0106031091626513</v>
      </c>
      <c r="V565" s="4">
        <v>0.223790686015981</v>
      </c>
      <c r="W565" s="4">
        <v>-0.01137352</v>
      </c>
    </row>
    <row r="566" spans="1:23" x14ac:dyDescent="0.25">
      <c r="A566">
        <v>79210</v>
      </c>
      <c r="B566" t="s">
        <v>95</v>
      </c>
      <c r="C566" t="s">
        <v>96</v>
      </c>
      <c r="D566">
        <v>10</v>
      </c>
      <c r="E566" s="1">
        <v>0.0831126130240205</v>
      </c>
      <c r="F566" s="1">
        <v>-0.118551479936194</v>
      </c>
      <c r="G566" s="1">
        <v>0.6</v>
      </c>
      <c r="H566" s="1">
        <v>0.2</v>
      </c>
      <c r="I566" s="1">
        <v>0.4</v>
      </c>
      <c r="J566" t="s">
        <v>213</v>
      </c>
      <c r="K566" s="3">
        <v>7857.25716133118</v>
      </c>
      <c r="L566" s="4">
        <v>0.11157706586003</v>
      </c>
      <c r="M566" s="4">
        <v>0.138439165902606</v>
      </c>
      <c r="N566" s="4">
        <v>0.0106031091626513</v>
      </c>
      <c r="O566" s="4">
        <v>0.127836056739954</v>
      </c>
      <c r="P566" s="4">
        <v>-0.01137352</v>
      </c>
      <c r="Q566" t="s">
        <v>213</v>
      </c>
      <c r="R566" s="3">
        <v>7857.25716133118</v>
      </c>
      <c r="S566" s="4">
        <v>0.11157706586003</v>
      </c>
      <c r="T566" s="4">
        <v>0.138439165902606</v>
      </c>
      <c r="U566" s="4">
        <v>0.0106031091626513</v>
      </c>
      <c r="V566" s="4">
        <v>0.127836056739954</v>
      </c>
      <c r="W566" s="4">
        <v>-0.01137352</v>
      </c>
    </row>
    <row r="567" spans="1:23" x14ac:dyDescent="0.25">
      <c r="A567">
        <v>87212</v>
      </c>
      <c r="B567" t="s">
        <v>49</v>
      </c>
      <c r="C567" t="s">
        <v>50</v>
      </c>
      <c r="D567">
        <v>10</v>
      </c>
      <c r="E567" s="1">
        <v>0.147241808378266</v>
      </c>
      <c r="F567" s="1">
        <v>0.00544237641798107</v>
      </c>
      <c r="G567" s="1">
        <v>0.2</v>
      </c>
      <c r="H567" s="1">
        <v>0.6</v>
      </c>
      <c r="I567" s="1">
        <v>0.4</v>
      </c>
      <c r="J567" t="s">
        <v>213</v>
      </c>
      <c r="K567" s="3">
        <v>33351.1862631741</v>
      </c>
      <c r="L567" s="4">
        <v>-0.237832981798297</v>
      </c>
      <c r="M567" s="4">
        <v>0.057160303444282</v>
      </c>
      <c r="N567" s="4">
        <v>0.0106031091626513</v>
      </c>
      <c r="O567" s="4">
        <v>0.0465571942816307</v>
      </c>
      <c r="P567" s="4">
        <v>-0.01137352</v>
      </c>
      <c r="Q567" t="s">
        <v>213</v>
      </c>
      <c r="R567" s="3">
        <v>33351.1862631741</v>
      </c>
      <c r="S567" s="4">
        <v>-0.237832981798297</v>
      </c>
      <c r="T567" s="4">
        <v>0.057160303444282</v>
      </c>
      <c r="U567" s="4">
        <v>0.0106031091626513</v>
      </c>
      <c r="V567" s="4">
        <v>0.0465571942816307</v>
      </c>
      <c r="W567" s="4">
        <v>-0.01137352</v>
      </c>
    </row>
    <row r="568" spans="1:23" x14ac:dyDescent="0.25">
      <c r="A568">
        <v>87842</v>
      </c>
      <c r="B568" t="s">
        <v>51</v>
      </c>
      <c r="C568" t="s">
        <v>52</v>
      </c>
      <c r="D568">
        <v>10</v>
      </c>
      <c r="E568" s="1">
        <v>0.117778844615138</v>
      </c>
      <c r="F568" s="1">
        <v>-0.0339552974488517</v>
      </c>
      <c r="G568" s="1">
        <v>0.4</v>
      </c>
      <c r="H568" s="1">
        <v>0.4</v>
      </c>
      <c r="I568" s="1">
        <v>0.4</v>
      </c>
      <c r="J568" t="s">
        <v>213</v>
      </c>
      <c r="K568" s="3">
        <v>51061.2054845123</v>
      </c>
      <c r="L568" s="4">
        <v>-0.037076792343128</v>
      </c>
      <c r="M568" s="4">
        <v>-0.241102147427034</v>
      </c>
      <c r="N568" s="4">
        <v>0.0106031091626513</v>
      </c>
      <c r="O568" s="4">
        <v>-0.251705256589686</v>
      </c>
      <c r="P568" s="4">
        <v>-0.01137352</v>
      </c>
      <c r="Q568" t="s">
        <v>213</v>
      </c>
      <c r="R568" s="3">
        <v>51061.2054845123</v>
      </c>
      <c r="S568" s="4">
        <v>-0.037076792343128</v>
      </c>
      <c r="T568" s="4">
        <v>-0.241102147427034</v>
      </c>
      <c r="U568" s="4">
        <v>0.0106031091626513</v>
      </c>
      <c r="V568" s="4">
        <v>-0.251705256589686</v>
      </c>
      <c r="W568" s="4">
        <v>-0.01137352</v>
      </c>
    </row>
    <row r="569" spans="1:23" x14ac:dyDescent="0.25">
      <c r="A569">
        <v>89942</v>
      </c>
      <c r="B569" t="s">
        <v>218</v>
      </c>
      <c r="C569" t="s">
        <v>219</v>
      </c>
      <c r="D569">
        <v>10</v>
      </c>
      <c r="E569" s="1">
        <v>0.0795861520095503</v>
      </c>
      <c r="F569" s="1">
        <v>-0.148874999995809</v>
      </c>
      <c r="G569" s="1">
        <v>0.6</v>
      </c>
      <c r="H569" s="1">
        <v>0.2</v>
      </c>
      <c r="I569" s="1">
        <v>0.4</v>
      </c>
      <c r="J569" t="s">
        <v>213</v>
      </c>
      <c r="K569" s="3">
        <v>274.01504888916</v>
      </c>
      <c r="L569" s="4">
        <v>0.0861268284078267</v>
      </c>
      <c r="M569" s="4">
        <v>0.0409701678660897</v>
      </c>
      <c r="N569" s="4">
        <v>0.0106031091626513</v>
      </c>
      <c r="O569" s="4">
        <v>0.0303670587034384</v>
      </c>
      <c r="P569" s="4">
        <v>-0.01137352</v>
      </c>
      <c r="Q569" t="s">
        <v>213</v>
      </c>
      <c r="R569" s="3">
        <v>274.01504888916</v>
      </c>
      <c r="S569" s="4">
        <v>0.0861268284078267</v>
      </c>
      <c r="T569" s="4">
        <v>0.0409701678660897</v>
      </c>
      <c r="U569" s="4">
        <v>0.0106031091626513</v>
      </c>
      <c r="V569" s="4">
        <v>0.0303670587034384</v>
      </c>
      <c r="W569" s="4">
        <v>-0.01137352</v>
      </c>
    </row>
    <row r="570" spans="1:23" x14ac:dyDescent="0.25">
      <c r="A570">
        <v>92111</v>
      </c>
      <c r="B570" t="s">
        <v>184</v>
      </c>
      <c r="C570" t="s">
        <v>185</v>
      </c>
      <c r="D570">
        <v>10</v>
      </c>
      <c r="E570" s="1">
        <v>0.081706435285611</v>
      </c>
      <c r="F570" s="1">
        <v>-0.228266173210083</v>
      </c>
      <c r="G570" s="1">
        <v>0.6</v>
      </c>
      <c r="H570" s="1">
        <v>0.2</v>
      </c>
      <c r="I570" s="1">
        <v>0.4</v>
      </c>
      <c r="J570" t="s">
        <v>213</v>
      </c>
      <c r="K570" s="3">
        <v>385.559095845222</v>
      </c>
      <c r="L570" s="4">
        <v>0.47587970969488</v>
      </c>
      <c r="M570" s="4">
        <v>0.234381151693472</v>
      </c>
      <c r="N570" s="4">
        <v>0.0106031091626513</v>
      </c>
      <c r="O570" s="4">
        <v>0.22377804253082</v>
      </c>
      <c r="P570" s="4">
        <v>-0.01137352</v>
      </c>
      <c r="Q570" t="s">
        <v>213</v>
      </c>
      <c r="R570" s="3">
        <v>385.559095845222</v>
      </c>
      <c r="S570" s="4">
        <v>0.47587970969488</v>
      </c>
      <c r="T570" s="4">
        <v>0.234381151693472</v>
      </c>
      <c r="U570" s="4">
        <v>0.0106031091626513</v>
      </c>
      <c r="V570" s="4">
        <v>0.22377804253082</v>
      </c>
      <c r="W570" s="4">
        <v>-0.01137352</v>
      </c>
    </row>
    <row r="571" spans="1:23" x14ac:dyDescent="0.25">
      <c r="A571">
        <v>10933</v>
      </c>
      <c r="B571" t="s">
        <v>57</v>
      </c>
      <c r="C571" t="s">
        <v>58</v>
      </c>
      <c r="D571">
        <v>10</v>
      </c>
      <c r="E571" s="1">
        <v>0.143371150729335</v>
      </c>
      <c r="F571" s="1">
        <v>-0.145178264538655</v>
      </c>
      <c r="G571" s="1">
        <v>0.4</v>
      </c>
      <c r="H571" s="1">
        <v>0.2</v>
      </c>
      <c r="I571" s="1">
        <v>0.3</v>
      </c>
      <c r="J571" t="s">
        <v>213</v>
      </c>
      <c r="K571" s="3">
        <v>17546.816</v>
      </c>
      <c r="L571" s="4">
        <v>0.31809027900417</v>
      </c>
      <c r="M571" s="4">
        <v>-0.0399436828225791</v>
      </c>
      <c r="N571" s="4">
        <v>0.0106031091626513</v>
      </c>
      <c r="O571" s="4">
        <v>-0.0505467919852304</v>
      </c>
      <c r="P571" s="4">
        <v>-0.01137352</v>
      </c>
      <c r="Q571" t="s">
        <v>213</v>
      </c>
      <c r="R571" s="3">
        <v>17546.816</v>
      </c>
      <c r="S571" s="4">
        <v>0.31809027900417</v>
      </c>
      <c r="T571" s="4">
        <v>-0.0399436828225791</v>
      </c>
      <c r="U571" s="4">
        <v>0.0106031091626513</v>
      </c>
      <c r="V571" s="4">
        <v>-0.0505467919852304</v>
      </c>
      <c r="W571" s="4">
        <v>-0.01137352</v>
      </c>
    </row>
    <row r="572" spans="1:23" x14ac:dyDescent="0.25">
      <c r="A572">
        <v>23473</v>
      </c>
      <c r="B572" t="s">
        <v>23</v>
      </c>
      <c r="C572" t="s">
        <v>24</v>
      </c>
      <c r="D572">
        <v>10</v>
      </c>
      <c r="E572" s="1">
        <v>0.160537171947687</v>
      </c>
      <c r="F572" s="1">
        <v>-0.0266968173791668</v>
      </c>
      <c r="G572" s="1">
        <v>0.2</v>
      </c>
      <c r="H572" s="1">
        <v>0.4</v>
      </c>
      <c r="I572" s="1">
        <v>0.3</v>
      </c>
      <c r="J572" t="s">
        <v>213</v>
      </c>
      <c r="K572" s="3">
        <v>18941.6165344238</v>
      </c>
      <c r="L572" s="4">
        <v>0.277866242038217</v>
      </c>
      <c r="M572" s="4">
        <v>-0.22473526389774</v>
      </c>
      <c r="N572" s="4">
        <v>0.0106031091626513</v>
      </c>
      <c r="O572" s="4">
        <v>-0.235338373060391</v>
      </c>
      <c r="P572" s="4">
        <v>-0.01137352</v>
      </c>
      <c r="Q572" t="s">
        <v>213</v>
      </c>
      <c r="R572" s="3">
        <v>18941.6165344238</v>
      </c>
      <c r="S572" s="4">
        <v>0.277866242038217</v>
      </c>
      <c r="T572" s="4">
        <v>-0.22473526389774</v>
      </c>
      <c r="U572" s="4">
        <v>0.0106031091626513</v>
      </c>
      <c r="V572" s="4">
        <v>-0.235338373060391</v>
      </c>
      <c r="W572" s="4">
        <v>-0.01137352</v>
      </c>
    </row>
    <row r="573" spans="1:23" x14ac:dyDescent="0.25">
      <c r="A573">
        <v>26710</v>
      </c>
      <c r="B573" t="s">
        <v>61</v>
      </c>
      <c r="C573" t="s">
        <v>62</v>
      </c>
      <c r="D573">
        <v>10</v>
      </c>
      <c r="E573" s="1">
        <v>0.105263157894737</v>
      </c>
      <c r="F573" s="1">
        <v>-0.208565375929665</v>
      </c>
      <c r="G573" s="1">
        <v>0.4</v>
      </c>
      <c r="H573" s="1">
        <v>0.2</v>
      </c>
      <c r="I573" s="1">
        <v>0.3</v>
      </c>
      <c r="J573" t="s">
        <v>213</v>
      </c>
      <c r="K573" s="3">
        <v>14584.3596669159</v>
      </c>
      <c r="L573" s="4">
        <v>0.0040343284676887</v>
      </c>
      <c r="M573" s="4">
        <v>-0.141187056869299</v>
      </c>
      <c r="N573" s="4">
        <v>0.0106031091626513</v>
      </c>
      <c r="O573" s="4">
        <v>-0.15179016603195</v>
      </c>
      <c r="P573" s="4">
        <v>-0.01137352</v>
      </c>
      <c r="Q573" t="s">
        <v>213</v>
      </c>
      <c r="R573" s="3">
        <v>14584.3596669159</v>
      </c>
      <c r="S573" s="4">
        <v>0.0040343284676887</v>
      </c>
      <c r="T573" s="4">
        <v>-0.141187056869299</v>
      </c>
      <c r="U573" s="4">
        <v>0.0106031091626513</v>
      </c>
      <c r="V573" s="4">
        <v>-0.15179016603195</v>
      </c>
      <c r="W573" s="4">
        <v>-0.01137352</v>
      </c>
    </row>
    <row r="574" spans="1:23" x14ac:dyDescent="0.25">
      <c r="A574">
        <v>66800</v>
      </c>
      <c r="B574" t="s">
        <v>87</v>
      </c>
      <c r="C574" t="s">
        <v>88</v>
      </c>
      <c r="D574">
        <v>10</v>
      </c>
      <c r="E574" s="1">
        <v>0.192578262398874</v>
      </c>
      <c r="F574" s="1">
        <v>-0.0366214059237835</v>
      </c>
      <c r="G574" s="1">
        <v>0.2</v>
      </c>
      <c r="H574" s="1">
        <v>0.4</v>
      </c>
      <c r="I574" s="1">
        <v>0.3</v>
      </c>
      <c r="J574" t="s">
        <v>213</v>
      </c>
      <c r="K574" s="3">
        <v>40504.7778061523</v>
      </c>
      <c r="L574" s="4">
        <v>0.20037824622907</v>
      </c>
      <c r="M574" s="4">
        <v>-0.0775131170417295</v>
      </c>
      <c r="N574" s="4">
        <v>0.0106031091626513</v>
      </c>
      <c r="O574" s="4">
        <v>-0.0881162262043808</v>
      </c>
      <c r="P574" s="4">
        <v>-0.01137352</v>
      </c>
      <c r="Q574" t="s">
        <v>213</v>
      </c>
      <c r="R574" s="3">
        <v>40504.7778061523</v>
      </c>
      <c r="S574" s="4">
        <v>0.20037824622907</v>
      </c>
      <c r="T574" s="4">
        <v>-0.0775131170417295</v>
      </c>
      <c r="U574" s="4">
        <v>0.0106031091626513</v>
      </c>
      <c r="V574" s="4">
        <v>-0.0881162262043808</v>
      </c>
      <c r="W574" s="4">
        <v>-0.01137352</v>
      </c>
    </row>
    <row r="575" spans="1:23" x14ac:dyDescent="0.25">
      <c r="A575">
        <v>56822</v>
      </c>
      <c r="B575" t="s">
        <v>177</v>
      </c>
      <c r="C575" t="s">
        <v>178</v>
      </c>
      <c r="D575">
        <v>10</v>
      </c>
      <c r="E575" s="1">
        <v>0.231719828390226</v>
      </c>
      <c r="F575" s="1">
        <v>-0.257173066713535</v>
      </c>
      <c r="G575" s="1">
        <v>0.2</v>
      </c>
      <c r="H575" s="1">
        <v>0.2</v>
      </c>
      <c r="I575" s="1">
        <v>0.2</v>
      </c>
      <c r="J575" t="s">
        <v>213</v>
      </c>
      <c r="K575" s="3">
        <v>696.47718951416</v>
      </c>
      <c r="L575" s="4">
        <v>0.193397360334346</v>
      </c>
      <c r="M575" s="4">
        <v>0.787159035595741</v>
      </c>
      <c r="N575" s="4">
        <v>0.0106031091626513</v>
      </c>
      <c r="O575" s="4">
        <v>0.776555926433089</v>
      </c>
      <c r="P575" s="4">
        <v>-0.01137352</v>
      </c>
      <c r="Q575" t="s">
        <v>213</v>
      </c>
      <c r="R575" s="3">
        <v>696.47718951416</v>
      </c>
      <c r="S575" s="4">
        <v>0.193397360334346</v>
      </c>
      <c r="T575" s="4">
        <v>0.787159035595741</v>
      </c>
      <c r="U575" s="4">
        <v>0.0106031091626513</v>
      </c>
      <c r="V575" s="4">
        <v>0.776555926433089</v>
      </c>
      <c r="W575" s="4">
        <v>-0.01137352</v>
      </c>
    </row>
    <row r="576" spans="1:23" x14ac:dyDescent="0.25">
      <c r="A576">
        <v>59396</v>
      </c>
      <c r="B576" t="s">
        <v>100</v>
      </c>
      <c r="C576" t="s">
        <v>101</v>
      </c>
      <c r="D576">
        <v>10</v>
      </c>
      <c r="E576" s="1">
        <v>0.206672091131001</v>
      </c>
      <c r="F576" s="1">
        <v>-0.245014729085849</v>
      </c>
      <c r="G576" s="1">
        <v>0.2</v>
      </c>
      <c r="H576" s="1">
        <v>0.2</v>
      </c>
      <c r="I576" s="1">
        <v>0.2</v>
      </c>
      <c r="J576" t="s">
        <v>213</v>
      </c>
      <c r="K576" s="3">
        <v>6893.65526817322</v>
      </c>
      <c r="L576" s="4">
        <v>0.303604571651851</v>
      </c>
      <c r="M576" s="4">
        <v>0.113843028738909</v>
      </c>
      <c r="N576" s="4">
        <v>0.0106031091626513</v>
      </c>
      <c r="O576" s="4">
        <v>0.103239919576258</v>
      </c>
      <c r="P576" s="4">
        <v>-0.01137352</v>
      </c>
      <c r="Q576" t="s">
        <v>213</v>
      </c>
      <c r="R576" s="3">
        <v>6893.65526817322</v>
      </c>
      <c r="S576" s="4">
        <v>0.303604571651851</v>
      </c>
      <c r="T576" s="4">
        <v>0.113843028738909</v>
      </c>
      <c r="U576" s="4">
        <v>0.0106031091626513</v>
      </c>
      <c r="V576" s="4">
        <v>0.103239919576258</v>
      </c>
      <c r="W576" s="4">
        <v>-0.01137352</v>
      </c>
    </row>
    <row r="577" spans="1:23" x14ac:dyDescent="0.25">
      <c r="A577">
        <v>89258</v>
      </c>
      <c r="B577" t="s">
        <v>21</v>
      </c>
      <c r="C577" t="s">
        <v>22</v>
      </c>
      <c r="D577">
        <v>10</v>
      </c>
      <c r="E577" s="1">
        <v>0.181541019955654</v>
      </c>
      <c r="F577" s="1">
        <v>-0.103031942598083</v>
      </c>
      <c r="G577" s="1">
        <v>0.2</v>
      </c>
      <c r="H577" s="1">
        <v>0.2</v>
      </c>
      <c r="I577" s="1">
        <v>0.2</v>
      </c>
      <c r="J577" t="s">
        <v>213</v>
      </c>
      <c r="K577" s="3">
        <v>35880.0001144409</v>
      </c>
      <c r="L577" s="4">
        <v>0.244025179288457</v>
      </c>
      <c r="M577" s="4">
        <v>-0.220103733059933</v>
      </c>
      <c r="N577" s="4">
        <v>0.0106031091626513</v>
      </c>
      <c r="O577" s="4">
        <v>-0.230706842222584</v>
      </c>
      <c r="P577" s="4">
        <v>-0.01137352</v>
      </c>
      <c r="Q577" t="s">
        <v>213</v>
      </c>
      <c r="R577" s="3">
        <v>35880.0001144409</v>
      </c>
      <c r="S577" s="4">
        <v>0.244025179288457</v>
      </c>
      <c r="T577" s="4">
        <v>-0.220103733059933</v>
      </c>
      <c r="U577" s="4">
        <v>0.0106031091626513</v>
      </c>
      <c r="V577" s="4">
        <v>-0.230706842222584</v>
      </c>
      <c r="W577" s="4">
        <v>-0.01137352</v>
      </c>
    </row>
    <row r="578" spans="1:23" x14ac:dyDescent="0.25">
      <c r="A578">
        <v>90925</v>
      </c>
      <c r="B578" t="s">
        <v>105</v>
      </c>
      <c r="C578" t="s">
        <v>106</v>
      </c>
      <c r="D578">
        <v>10</v>
      </c>
      <c r="E578" s="1">
        <v>0.162322729014948</v>
      </c>
      <c r="F578" s="1">
        <v>-0.103128918606905</v>
      </c>
      <c r="G578" s="1">
        <v>0.2</v>
      </c>
      <c r="H578" s="1">
        <v>0.2</v>
      </c>
      <c r="I578" s="1">
        <v>0.2</v>
      </c>
      <c r="J578" t="s">
        <v>213</v>
      </c>
      <c r="K578" s="3">
        <v>10374.8195830078</v>
      </c>
      <c r="L578" s="4">
        <v>0.451382445722769</v>
      </c>
      <c r="M578" s="4">
        <v>-0.12410956940416</v>
      </c>
      <c r="N578" s="4">
        <v>0.0106031091626513</v>
      </c>
      <c r="O578" s="4">
        <v>-0.134712678566812</v>
      </c>
      <c r="P578" s="4">
        <v>-0.01137352</v>
      </c>
      <c r="Q578" t="s">
        <v>213</v>
      </c>
      <c r="R578" s="3">
        <v>10374.8195830078</v>
      </c>
      <c r="S578" s="4">
        <v>0.451382445722769</v>
      </c>
      <c r="T578" s="4">
        <v>-0.12410956940416</v>
      </c>
      <c r="U578" s="4">
        <v>0.0106031091626513</v>
      </c>
      <c r="V578" s="4">
        <v>-0.134712678566812</v>
      </c>
      <c r="W578" s="4">
        <v>-0.01137352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Individual_Combined_Scores</vt:lpstr>
      <vt:lpstr>Portfolio_Performance</vt:lpstr>
      <vt:lpstr>Portfolio_Performance_Summary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LK</cp:lastModifiedBy>
  <dcterms:created xsi:type="dcterms:W3CDTF">2026-04-01T11:22:00Z</dcterms:created>
  <dcterms:modified xsi:type="dcterms:W3CDTF">2026-04-01T11:24:33Z</dcterms:modified>
</cp:coreProperties>
</file>